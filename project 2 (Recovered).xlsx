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Arjun sinojia\Desktop\Excel\"/>
    </mc:Choice>
  </mc:AlternateContent>
  <xr:revisionPtr revIDLastSave="0" documentId="13_ncr:1_{777E1E22-0181-45F1-9EB1-8B36121A22EE}" xr6:coauthVersionLast="47" xr6:coauthVersionMax="47" xr10:uidLastSave="{00000000-0000-0000-0000-000000000000}"/>
  <bookViews>
    <workbookView xWindow="-108" yWindow="-108" windowWidth="23256" windowHeight="12456" tabRatio="710" firstSheet="1" activeTab="5" xr2:uid="{00000000-000D-0000-FFFF-FFFF00000000}"/>
  </bookViews>
  <sheets>
    <sheet name="Scenario Summary" sheetId="5" r:id="rId1"/>
    <sheet name="REGRESSION" sheetId="6" r:id="rId2"/>
    <sheet name="Profit_Descriptive_Statistics" sheetId="7" r:id="rId3"/>
    <sheet name="CHARTS" sheetId="9" r:id="rId4"/>
    <sheet name="PIVOTTABLES" sheetId="11" r:id="rId5"/>
    <sheet name="SALESDATA" sheetId="1" r:id="rId6"/>
  </sheets>
  <definedNames>
    <definedName name="_xlcn.WorksheetConnection_project2.xlsxTable11" hidden="1">Table1[]</definedName>
    <definedName name="NativeTimeline_Order_Date">#N/A</definedName>
    <definedName name="Slicer_Product_Category">#N/A</definedName>
    <definedName name="Slicer_Region">#N/A</definedName>
  </definedNames>
  <calcPr calcId="191029"/>
  <pivotCaches>
    <pivotCache cacheId="0" r:id="rId7"/>
    <pivotCache cacheId="64" r:id="rId8"/>
    <pivotCache cacheId="2" r:id="rId9"/>
    <pivotCache cacheId="3" r:id="rId10"/>
    <pivotCache cacheId="4"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project 2.xlsx!Table1"/>
        </x15:modelTables>
      </x15:dataModel>
    </ext>
  </extLst>
</workbook>
</file>

<file path=xl/calcChain.xml><?xml version="1.0" encoding="utf-8"?>
<calcChain xmlns="http://schemas.openxmlformats.org/spreadsheetml/2006/main">
  <c r="M201" i="1" l="1"/>
  <c r="L201" i="1"/>
  <c r="K201" i="1"/>
  <c r="J201" i="1"/>
  <c r="M200" i="1"/>
  <c r="L200" i="1"/>
  <c r="K200" i="1"/>
  <c r="J200" i="1"/>
  <c r="M199" i="1"/>
  <c r="L199" i="1"/>
  <c r="K199" i="1"/>
  <c r="J199" i="1"/>
  <c r="M198" i="1"/>
  <c r="L198" i="1"/>
  <c r="K198" i="1"/>
  <c r="J198" i="1"/>
  <c r="M197" i="1"/>
  <c r="L197" i="1"/>
  <c r="K197" i="1"/>
  <c r="J197" i="1"/>
  <c r="M196" i="1"/>
  <c r="L196" i="1"/>
  <c r="K196" i="1"/>
  <c r="J196" i="1"/>
  <c r="M195" i="1"/>
  <c r="L195" i="1"/>
  <c r="K195" i="1"/>
  <c r="J195" i="1"/>
  <c r="M194" i="1"/>
  <c r="L194" i="1"/>
  <c r="K194" i="1"/>
  <c r="J194" i="1"/>
  <c r="M193" i="1"/>
  <c r="L193" i="1"/>
  <c r="K193" i="1"/>
  <c r="J193" i="1"/>
  <c r="M192" i="1"/>
  <c r="L192" i="1"/>
  <c r="K192" i="1"/>
  <c r="J192" i="1"/>
  <c r="M191" i="1"/>
  <c r="L191" i="1"/>
  <c r="K191" i="1"/>
  <c r="J191" i="1"/>
  <c r="M190" i="1"/>
  <c r="L190" i="1"/>
  <c r="K190" i="1"/>
  <c r="J190" i="1"/>
  <c r="M189" i="1"/>
  <c r="L189" i="1"/>
  <c r="K189" i="1"/>
  <c r="J189" i="1"/>
  <c r="M188" i="1"/>
  <c r="L188" i="1"/>
  <c r="K188" i="1"/>
  <c r="J188" i="1"/>
  <c r="M187" i="1"/>
  <c r="L187" i="1"/>
  <c r="K187" i="1"/>
  <c r="J187" i="1"/>
  <c r="M186" i="1"/>
  <c r="L186" i="1"/>
  <c r="K186" i="1"/>
  <c r="J186" i="1"/>
  <c r="M185" i="1"/>
  <c r="L185" i="1"/>
  <c r="K185" i="1"/>
  <c r="J185" i="1"/>
  <c r="M184" i="1"/>
  <c r="L184" i="1"/>
  <c r="K184" i="1"/>
  <c r="J184" i="1"/>
  <c r="M183" i="1"/>
  <c r="L183" i="1"/>
  <c r="K183" i="1"/>
  <c r="J183" i="1"/>
  <c r="M182" i="1"/>
  <c r="L182" i="1"/>
  <c r="K182" i="1"/>
  <c r="J182" i="1"/>
  <c r="M181" i="1"/>
  <c r="L181" i="1"/>
  <c r="K181" i="1"/>
  <c r="J181" i="1"/>
  <c r="M180" i="1"/>
  <c r="L180" i="1"/>
  <c r="K180" i="1"/>
  <c r="J180" i="1"/>
  <c r="M179" i="1"/>
  <c r="L179" i="1"/>
  <c r="K179" i="1"/>
  <c r="J179" i="1"/>
  <c r="M178" i="1"/>
  <c r="L178" i="1"/>
  <c r="K178" i="1"/>
  <c r="J178" i="1"/>
  <c r="M177" i="1"/>
  <c r="L177" i="1"/>
  <c r="K177" i="1"/>
  <c r="J177" i="1"/>
  <c r="M176" i="1"/>
  <c r="L176" i="1"/>
  <c r="K176" i="1"/>
  <c r="J176" i="1"/>
  <c r="M175" i="1"/>
  <c r="L175" i="1"/>
  <c r="K175" i="1"/>
  <c r="J175" i="1"/>
  <c r="M174" i="1"/>
  <c r="L174" i="1"/>
  <c r="K174" i="1"/>
  <c r="J174" i="1"/>
  <c r="M173" i="1"/>
  <c r="L173" i="1"/>
  <c r="K173" i="1"/>
  <c r="J173" i="1"/>
  <c r="M172" i="1"/>
  <c r="L172" i="1"/>
  <c r="K172" i="1"/>
  <c r="J172" i="1"/>
  <c r="M171" i="1"/>
  <c r="L171" i="1"/>
  <c r="K171" i="1"/>
  <c r="J171" i="1"/>
  <c r="M170" i="1"/>
  <c r="L170" i="1"/>
  <c r="K170" i="1"/>
  <c r="J170" i="1"/>
  <c r="M169" i="1"/>
  <c r="L169" i="1"/>
  <c r="K169" i="1"/>
  <c r="J169" i="1"/>
  <c r="M168" i="1"/>
  <c r="L168" i="1"/>
  <c r="K168" i="1"/>
  <c r="J168" i="1"/>
  <c r="M167" i="1"/>
  <c r="L167" i="1"/>
  <c r="K167" i="1"/>
  <c r="J167" i="1"/>
  <c r="M166" i="1"/>
  <c r="L166" i="1"/>
  <c r="K166" i="1"/>
  <c r="J166" i="1"/>
  <c r="M165" i="1"/>
  <c r="L165" i="1"/>
  <c r="K165" i="1"/>
  <c r="J165" i="1"/>
  <c r="M164" i="1"/>
  <c r="L164" i="1"/>
  <c r="K164" i="1"/>
  <c r="J164" i="1"/>
  <c r="M163" i="1"/>
  <c r="L163" i="1"/>
  <c r="K163" i="1"/>
  <c r="J163" i="1"/>
  <c r="M162" i="1"/>
  <c r="L162" i="1"/>
  <c r="K162" i="1"/>
  <c r="J162" i="1"/>
  <c r="M161" i="1"/>
  <c r="L161" i="1"/>
  <c r="K161" i="1"/>
  <c r="J161" i="1"/>
  <c r="M160" i="1"/>
  <c r="L160" i="1"/>
  <c r="K160" i="1"/>
  <c r="J160" i="1"/>
  <c r="M159" i="1"/>
  <c r="L159" i="1"/>
  <c r="K159" i="1"/>
  <c r="J159" i="1"/>
  <c r="M158" i="1"/>
  <c r="L158" i="1"/>
  <c r="K158" i="1"/>
  <c r="J158" i="1"/>
  <c r="M157" i="1"/>
  <c r="L157" i="1"/>
  <c r="K157" i="1"/>
  <c r="J157" i="1"/>
  <c r="M156" i="1"/>
  <c r="L156" i="1"/>
  <c r="K156" i="1"/>
  <c r="J156" i="1"/>
  <c r="M155" i="1"/>
  <c r="L155" i="1"/>
  <c r="K155" i="1"/>
  <c r="J155" i="1"/>
  <c r="M154" i="1"/>
  <c r="L154" i="1"/>
  <c r="K154" i="1"/>
  <c r="J154" i="1"/>
  <c r="M153" i="1"/>
  <c r="L153" i="1"/>
  <c r="K153" i="1"/>
  <c r="J153" i="1"/>
  <c r="M152" i="1"/>
  <c r="L152" i="1"/>
  <c r="K152" i="1"/>
  <c r="J152" i="1"/>
  <c r="M151" i="1"/>
  <c r="L151" i="1"/>
  <c r="K151" i="1"/>
  <c r="J151" i="1"/>
  <c r="M150" i="1"/>
  <c r="L150" i="1"/>
  <c r="K150" i="1"/>
  <c r="J150" i="1"/>
  <c r="M149" i="1"/>
  <c r="L149" i="1"/>
  <c r="K149" i="1"/>
  <c r="J149" i="1"/>
  <c r="M148" i="1"/>
  <c r="L148" i="1"/>
  <c r="K148" i="1"/>
  <c r="J148" i="1"/>
  <c r="M147" i="1"/>
  <c r="L147" i="1"/>
  <c r="K147" i="1"/>
  <c r="J147" i="1"/>
  <c r="M146" i="1"/>
  <c r="L146" i="1"/>
  <c r="K146" i="1"/>
  <c r="J146" i="1"/>
  <c r="M145" i="1"/>
  <c r="L145" i="1"/>
  <c r="K145" i="1"/>
  <c r="J145" i="1"/>
  <c r="M144" i="1"/>
  <c r="L144" i="1"/>
  <c r="K144" i="1"/>
  <c r="J144" i="1"/>
  <c r="M143" i="1"/>
  <c r="L143" i="1"/>
  <c r="K143" i="1"/>
  <c r="J143" i="1"/>
  <c r="M142" i="1"/>
  <c r="L142" i="1"/>
  <c r="K142" i="1"/>
  <c r="J142" i="1"/>
  <c r="M141" i="1"/>
  <c r="L141" i="1"/>
  <c r="K141" i="1"/>
  <c r="J141" i="1"/>
  <c r="M140" i="1"/>
  <c r="L140" i="1"/>
  <c r="K140" i="1"/>
  <c r="J140" i="1"/>
  <c r="M139" i="1"/>
  <c r="L139" i="1"/>
  <c r="K139" i="1"/>
  <c r="J139" i="1"/>
  <c r="M138" i="1"/>
  <c r="L138" i="1"/>
  <c r="K138" i="1"/>
  <c r="J138" i="1"/>
  <c r="M137" i="1"/>
  <c r="L137" i="1"/>
  <c r="K137" i="1"/>
  <c r="J137" i="1"/>
  <c r="M136" i="1"/>
  <c r="L136" i="1"/>
  <c r="K136" i="1"/>
  <c r="J136" i="1"/>
  <c r="M135" i="1"/>
  <c r="L135" i="1"/>
  <c r="K135" i="1"/>
  <c r="J135" i="1"/>
  <c r="M134" i="1"/>
  <c r="L134" i="1"/>
  <c r="K134" i="1"/>
  <c r="J134" i="1"/>
  <c r="M133" i="1"/>
  <c r="L133" i="1"/>
  <c r="K133" i="1"/>
  <c r="J133" i="1"/>
  <c r="M132" i="1"/>
  <c r="L132" i="1"/>
  <c r="K132" i="1"/>
  <c r="J132" i="1"/>
  <c r="M131" i="1"/>
  <c r="L131" i="1"/>
  <c r="K131" i="1"/>
  <c r="J131" i="1"/>
  <c r="M130" i="1"/>
  <c r="L130" i="1"/>
  <c r="K130" i="1"/>
  <c r="J130" i="1"/>
  <c r="M129" i="1"/>
  <c r="L129" i="1"/>
  <c r="K129" i="1"/>
  <c r="J129" i="1"/>
  <c r="M128" i="1"/>
  <c r="L128" i="1"/>
  <c r="K128" i="1"/>
  <c r="J128" i="1"/>
  <c r="M127" i="1"/>
  <c r="L127" i="1"/>
  <c r="K127" i="1"/>
  <c r="J127" i="1"/>
  <c r="M126" i="1"/>
  <c r="L126" i="1"/>
  <c r="K126" i="1"/>
  <c r="J126" i="1"/>
  <c r="M125" i="1"/>
  <c r="L125" i="1"/>
  <c r="K125" i="1"/>
  <c r="J125" i="1"/>
  <c r="M124" i="1"/>
  <c r="L124" i="1"/>
  <c r="K124" i="1"/>
  <c r="J124" i="1"/>
  <c r="M123" i="1"/>
  <c r="L123" i="1"/>
  <c r="K123" i="1"/>
  <c r="J123" i="1"/>
  <c r="M122" i="1"/>
  <c r="L122" i="1"/>
  <c r="K122" i="1"/>
  <c r="J122" i="1"/>
  <c r="M121" i="1"/>
  <c r="L121" i="1"/>
  <c r="K121" i="1"/>
  <c r="J121" i="1"/>
  <c r="M120" i="1"/>
  <c r="L120" i="1"/>
  <c r="K120" i="1"/>
  <c r="J120" i="1"/>
  <c r="M119" i="1"/>
  <c r="L119" i="1"/>
  <c r="K119" i="1"/>
  <c r="J119" i="1"/>
  <c r="M118" i="1"/>
  <c r="L118" i="1"/>
  <c r="K118" i="1"/>
  <c r="J118" i="1"/>
  <c r="M117" i="1"/>
  <c r="L117" i="1"/>
  <c r="K117" i="1"/>
  <c r="J117" i="1"/>
  <c r="M116" i="1"/>
  <c r="L116" i="1"/>
  <c r="K116" i="1"/>
  <c r="J116" i="1"/>
  <c r="M115" i="1"/>
  <c r="L115" i="1"/>
  <c r="K115" i="1"/>
  <c r="J115" i="1"/>
  <c r="M114" i="1"/>
  <c r="L114" i="1"/>
  <c r="K114" i="1"/>
  <c r="J114" i="1"/>
  <c r="M113" i="1"/>
  <c r="L113" i="1"/>
  <c r="K113" i="1"/>
  <c r="J113" i="1"/>
  <c r="M112" i="1"/>
  <c r="L112" i="1"/>
  <c r="K112" i="1"/>
  <c r="J112" i="1"/>
  <c r="M111" i="1"/>
  <c r="L111" i="1"/>
  <c r="K111" i="1"/>
  <c r="J111" i="1"/>
  <c r="M110" i="1"/>
  <c r="L110" i="1"/>
  <c r="K110" i="1"/>
  <c r="J110" i="1"/>
  <c r="M109" i="1"/>
  <c r="L109" i="1"/>
  <c r="K109" i="1"/>
  <c r="J109" i="1"/>
  <c r="M108" i="1"/>
  <c r="L108" i="1"/>
  <c r="K108" i="1"/>
  <c r="J108" i="1"/>
  <c r="M107" i="1"/>
  <c r="L107" i="1"/>
  <c r="K107" i="1"/>
  <c r="J107" i="1"/>
  <c r="M106" i="1"/>
  <c r="L106" i="1"/>
  <c r="K106" i="1"/>
  <c r="J106" i="1"/>
  <c r="M105" i="1"/>
  <c r="L105" i="1"/>
  <c r="K105" i="1"/>
  <c r="J105" i="1"/>
  <c r="M104" i="1"/>
  <c r="L104" i="1"/>
  <c r="K104" i="1"/>
  <c r="J104" i="1"/>
  <c r="M103" i="1"/>
  <c r="L103" i="1"/>
  <c r="K103" i="1"/>
  <c r="J103" i="1"/>
  <c r="M102" i="1"/>
  <c r="L102" i="1"/>
  <c r="K102" i="1"/>
  <c r="J102" i="1"/>
  <c r="M101" i="1"/>
  <c r="L101" i="1"/>
  <c r="K101" i="1"/>
  <c r="J101" i="1"/>
  <c r="M100" i="1"/>
  <c r="L100" i="1"/>
  <c r="K100" i="1"/>
  <c r="J100" i="1"/>
  <c r="M99" i="1"/>
  <c r="L99" i="1"/>
  <c r="K99" i="1"/>
  <c r="J99" i="1"/>
  <c r="M98" i="1"/>
  <c r="L98" i="1"/>
  <c r="K98" i="1"/>
  <c r="J98" i="1"/>
  <c r="M97" i="1"/>
  <c r="L97" i="1"/>
  <c r="K97" i="1"/>
  <c r="J97" i="1"/>
  <c r="M96" i="1"/>
  <c r="L96" i="1"/>
  <c r="K96" i="1"/>
  <c r="J96" i="1"/>
  <c r="M95" i="1"/>
  <c r="L95" i="1"/>
  <c r="K95" i="1"/>
  <c r="J95" i="1"/>
  <c r="M94" i="1"/>
  <c r="L94" i="1"/>
  <c r="K94" i="1"/>
  <c r="J94" i="1"/>
  <c r="M93" i="1"/>
  <c r="L93" i="1"/>
  <c r="K93" i="1"/>
  <c r="J93" i="1"/>
  <c r="M92" i="1"/>
  <c r="L92" i="1"/>
  <c r="K92" i="1"/>
  <c r="J92" i="1"/>
  <c r="M91" i="1"/>
  <c r="L91" i="1"/>
  <c r="K91" i="1"/>
  <c r="J91" i="1"/>
  <c r="M90" i="1"/>
  <c r="L90" i="1"/>
  <c r="K90" i="1"/>
  <c r="J90" i="1"/>
  <c r="M89" i="1"/>
  <c r="L89" i="1"/>
  <c r="K89" i="1"/>
  <c r="J89" i="1"/>
  <c r="M88" i="1"/>
  <c r="L88" i="1"/>
  <c r="K88" i="1"/>
  <c r="J88" i="1"/>
  <c r="M87" i="1"/>
  <c r="L87" i="1"/>
  <c r="K87" i="1"/>
  <c r="J87" i="1"/>
  <c r="M86" i="1"/>
  <c r="L86" i="1"/>
  <c r="K86" i="1"/>
  <c r="J86" i="1"/>
  <c r="M85" i="1"/>
  <c r="L85" i="1"/>
  <c r="K85" i="1"/>
  <c r="J85" i="1"/>
  <c r="M84" i="1"/>
  <c r="L84" i="1"/>
  <c r="K84" i="1"/>
  <c r="J84" i="1"/>
  <c r="M83" i="1"/>
  <c r="L83" i="1"/>
  <c r="K83" i="1"/>
  <c r="J83" i="1"/>
  <c r="M82" i="1"/>
  <c r="L82" i="1"/>
  <c r="K82" i="1"/>
  <c r="J82" i="1"/>
  <c r="M81" i="1"/>
  <c r="L81" i="1"/>
  <c r="K81" i="1"/>
  <c r="J81" i="1"/>
  <c r="M80" i="1"/>
  <c r="L80" i="1"/>
  <c r="K80" i="1"/>
  <c r="J80" i="1"/>
  <c r="M79" i="1"/>
  <c r="L79" i="1"/>
  <c r="K79" i="1"/>
  <c r="J79" i="1"/>
  <c r="M78" i="1"/>
  <c r="L78" i="1"/>
  <c r="K78" i="1"/>
  <c r="J78" i="1"/>
  <c r="M77" i="1"/>
  <c r="L77" i="1"/>
  <c r="K77" i="1"/>
  <c r="J77" i="1"/>
  <c r="M76" i="1"/>
  <c r="L76" i="1"/>
  <c r="K76" i="1"/>
  <c r="J76" i="1"/>
  <c r="M75" i="1"/>
  <c r="L75" i="1"/>
  <c r="K75" i="1"/>
  <c r="J75" i="1"/>
  <c r="M74" i="1"/>
  <c r="L74" i="1"/>
  <c r="K74" i="1"/>
  <c r="J74" i="1"/>
  <c r="M73" i="1"/>
  <c r="L73" i="1"/>
  <c r="K73" i="1"/>
  <c r="J73" i="1"/>
  <c r="M72" i="1"/>
  <c r="L72" i="1"/>
  <c r="K72" i="1"/>
  <c r="J72" i="1"/>
  <c r="M71" i="1"/>
  <c r="L71" i="1"/>
  <c r="K71" i="1"/>
  <c r="J71" i="1"/>
  <c r="M70" i="1"/>
  <c r="L70" i="1"/>
  <c r="K70" i="1"/>
  <c r="J70" i="1"/>
  <c r="M69" i="1"/>
  <c r="L69" i="1"/>
  <c r="K69" i="1"/>
  <c r="J69" i="1"/>
  <c r="M68" i="1"/>
  <c r="L68" i="1"/>
  <c r="K68" i="1"/>
  <c r="J68" i="1"/>
  <c r="M67" i="1"/>
  <c r="L67" i="1"/>
  <c r="K67" i="1"/>
  <c r="J67" i="1"/>
  <c r="M66" i="1"/>
  <c r="L66" i="1"/>
  <c r="K66" i="1"/>
  <c r="J66" i="1"/>
  <c r="M65" i="1"/>
  <c r="L65" i="1"/>
  <c r="K65" i="1"/>
  <c r="J65" i="1"/>
  <c r="M64" i="1"/>
  <c r="L64" i="1"/>
  <c r="K64" i="1"/>
  <c r="J64" i="1"/>
  <c r="M63" i="1"/>
  <c r="L63" i="1"/>
  <c r="K63" i="1"/>
  <c r="J63" i="1"/>
  <c r="M62" i="1"/>
  <c r="L62" i="1"/>
  <c r="K62" i="1"/>
  <c r="J62" i="1"/>
  <c r="M61" i="1"/>
  <c r="L61" i="1"/>
  <c r="K61" i="1"/>
  <c r="J61" i="1"/>
  <c r="M60" i="1"/>
  <c r="L60" i="1"/>
  <c r="K60" i="1"/>
  <c r="J60" i="1"/>
  <c r="M59" i="1"/>
  <c r="L59" i="1"/>
  <c r="K59" i="1"/>
  <c r="J59" i="1"/>
  <c r="M58" i="1"/>
  <c r="L58" i="1"/>
  <c r="K58" i="1"/>
  <c r="J58" i="1"/>
  <c r="M57" i="1"/>
  <c r="L57" i="1"/>
  <c r="K57" i="1"/>
  <c r="J57" i="1"/>
  <c r="M56" i="1"/>
  <c r="L56" i="1"/>
  <c r="K56" i="1"/>
  <c r="J56" i="1"/>
  <c r="M55" i="1"/>
  <c r="L55" i="1"/>
  <c r="K55" i="1"/>
  <c r="J55" i="1"/>
  <c r="M54" i="1"/>
  <c r="L54" i="1"/>
  <c r="K54" i="1"/>
  <c r="J54" i="1"/>
  <c r="M53" i="1"/>
  <c r="L53" i="1"/>
  <c r="K53" i="1"/>
  <c r="J53" i="1"/>
  <c r="M52" i="1"/>
  <c r="L52" i="1"/>
  <c r="K52" i="1"/>
  <c r="J52" i="1"/>
  <c r="M51" i="1"/>
  <c r="L51" i="1"/>
  <c r="K51" i="1"/>
  <c r="J51" i="1"/>
  <c r="M50" i="1"/>
  <c r="L50" i="1"/>
  <c r="K50" i="1"/>
  <c r="J50" i="1"/>
  <c r="M49" i="1"/>
  <c r="L49" i="1"/>
  <c r="K49" i="1"/>
  <c r="J49" i="1"/>
  <c r="M48" i="1"/>
  <c r="L48" i="1"/>
  <c r="K48" i="1"/>
  <c r="J48" i="1"/>
  <c r="M47" i="1"/>
  <c r="L47" i="1"/>
  <c r="K47" i="1"/>
  <c r="J47" i="1"/>
  <c r="M46" i="1"/>
  <c r="L46" i="1"/>
  <c r="K46" i="1"/>
  <c r="J46" i="1"/>
  <c r="M45" i="1"/>
  <c r="L45" i="1"/>
  <c r="K45" i="1"/>
  <c r="J45" i="1"/>
  <c r="M44" i="1"/>
  <c r="L44" i="1"/>
  <c r="K44" i="1"/>
  <c r="J44" i="1"/>
  <c r="M43" i="1"/>
  <c r="L43" i="1"/>
  <c r="K43" i="1"/>
  <c r="J43" i="1"/>
  <c r="M42" i="1"/>
  <c r="L42" i="1"/>
  <c r="K42" i="1"/>
  <c r="J42" i="1"/>
  <c r="M41" i="1"/>
  <c r="L41" i="1"/>
  <c r="K41" i="1"/>
  <c r="J41" i="1"/>
  <c r="M40" i="1"/>
  <c r="L40" i="1"/>
  <c r="K40" i="1"/>
  <c r="J40" i="1"/>
  <c r="M39" i="1"/>
  <c r="L39" i="1"/>
  <c r="K39" i="1"/>
  <c r="J39" i="1"/>
  <c r="M38" i="1"/>
  <c r="L38" i="1"/>
  <c r="K38" i="1"/>
  <c r="J38" i="1"/>
  <c r="M37" i="1"/>
  <c r="L37" i="1"/>
  <c r="K37" i="1"/>
  <c r="J37" i="1"/>
  <c r="M36" i="1"/>
  <c r="L36" i="1"/>
  <c r="K36" i="1"/>
  <c r="J36" i="1"/>
  <c r="M35" i="1"/>
  <c r="L35" i="1"/>
  <c r="K35" i="1"/>
  <c r="J35" i="1"/>
  <c r="M34" i="1"/>
  <c r="L34" i="1"/>
  <c r="K34" i="1"/>
  <c r="J34" i="1"/>
  <c r="M33" i="1"/>
  <c r="L33" i="1"/>
  <c r="K33" i="1"/>
  <c r="J33" i="1"/>
  <c r="M32" i="1"/>
  <c r="L32" i="1"/>
  <c r="K32" i="1"/>
  <c r="J32" i="1"/>
  <c r="M31" i="1"/>
  <c r="L31" i="1"/>
  <c r="K31" i="1"/>
  <c r="J31" i="1"/>
  <c r="M30" i="1"/>
  <c r="L30" i="1"/>
  <c r="K30" i="1"/>
  <c r="J30" i="1"/>
  <c r="M29" i="1"/>
  <c r="L29" i="1"/>
  <c r="K29" i="1"/>
  <c r="J29" i="1"/>
  <c r="M28" i="1"/>
  <c r="L28" i="1"/>
  <c r="K28" i="1"/>
  <c r="J28" i="1"/>
  <c r="M27" i="1"/>
  <c r="L27" i="1"/>
  <c r="K27" i="1"/>
  <c r="J27" i="1"/>
  <c r="M26" i="1"/>
  <c r="L26" i="1"/>
  <c r="K26" i="1"/>
  <c r="J26" i="1"/>
  <c r="M25" i="1"/>
  <c r="L25" i="1"/>
  <c r="K25" i="1"/>
  <c r="J25" i="1"/>
  <c r="M24" i="1"/>
  <c r="L24" i="1"/>
  <c r="K24" i="1"/>
  <c r="J24" i="1"/>
  <c r="M23" i="1"/>
  <c r="L23" i="1"/>
  <c r="K23" i="1"/>
  <c r="J23" i="1"/>
  <c r="M22" i="1"/>
  <c r="L22" i="1"/>
  <c r="K22" i="1"/>
  <c r="J22" i="1"/>
  <c r="M21" i="1"/>
  <c r="L21" i="1"/>
  <c r="K21" i="1"/>
  <c r="J21" i="1"/>
  <c r="M20" i="1"/>
  <c r="L20" i="1"/>
  <c r="K20" i="1"/>
  <c r="J20" i="1"/>
  <c r="M19" i="1"/>
  <c r="L19" i="1"/>
  <c r="K19" i="1"/>
  <c r="J19" i="1"/>
  <c r="M18" i="1"/>
  <c r="L18" i="1"/>
  <c r="K18" i="1"/>
  <c r="J18" i="1"/>
  <c r="M17" i="1"/>
  <c r="L17" i="1"/>
  <c r="K17" i="1"/>
  <c r="J17" i="1"/>
  <c r="M16" i="1"/>
  <c r="L16" i="1"/>
  <c r="K16" i="1"/>
  <c r="J16" i="1"/>
  <c r="M15" i="1"/>
  <c r="L15" i="1"/>
  <c r="K15" i="1"/>
  <c r="J15" i="1"/>
  <c r="M14" i="1"/>
  <c r="L14" i="1"/>
  <c r="K14" i="1"/>
  <c r="J14" i="1"/>
  <c r="M13" i="1"/>
  <c r="L13" i="1"/>
  <c r="K13" i="1"/>
  <c r="J13" i="1"/>
  <c r="M12" i="1"/>
  <c r="L12" i="1"/>
  <c r="K12" i="1"/>
  <c r="J12" i="1"/>
  <c r="M11" i="1"/>
  <c r="L11" i="1"/>
  <c r="K11" i="1"/>
  <c r="J11" i="1"/>
  <c r="O10" i="1"/>
  <c r="M10" i="1"/>
  <c r="L10" i="1"/>
  <c r="K10" i="1"/>
  <c r="J10" i="1"/>
  <c r="M9" i="1"/>
  <c r="L9" i="1"/>
  <c r="K9" i="1"/>
  <c r="J9" i="1"/>
  <c r="M8" i="1"/>
  <c r="L8" i="1"/>
  <c r="K8" i="1"/>
  <c r="J8" i="1"/>
  <c r="M7" i="1"/>
  <c r="L7" i="1"/>
  <c r="K7" i="1"/>
  <c r="J7" i="1"/>
  <c r="Q6" i="1"/>
  <c r="M6" i="1"/>
  <c r="L6" i="1"/>
  <c r="K6" i="1"/>
  <c r="J6" i="1"/>
  <c r="M5" i="1"/>
  <c r="L5" i="1"/>
  <c r="K5" i="1"/>
  <c r="J5" i="1"/>
  <c r="M4" i="1"/>
  <c r="L4" i="1"/>
  <c r="K4" i="1"/>
  <c r="J4" i="1"/>
  <c r="M3" i="1"/>
  <c r="L3" i="1"/>
  <c r="K3" i="1"/>
  <c r="J3" i="1"/>
  <c r="M2" i="1"/>
  <c r="L2" i="1"/>
  <c r="K2" i="1"/>
  <c r="J2" i="1"/>
  <c r="G10" i="5"/>
  <c r="F10" i="5"/>
  <c r="E10" i="5"/>
  <c r="D10" i="5"/>
  <c r="O25" i="11"/>
  <c r="N25" i="11"/>
  <c r="O26" i="11"/>
  <c r="N2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8DD22E-3BFD-4A05-B6FD-DB52549A1E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C137281-377D-4C43-9040-FF73BBEDB648}" name="WorksheetConnection_project 2.xlsx!Table1" type="102" refreshedVersion="8" minRefreshableVersion="5">
    <extLst>
      <ext xmlns:x15="http://schemas.microsoft.com/office/spreadsheetml/2010/11/main" uri="{DE250136-89BD-433C-8126-D09CA5730AF9}">
        <x15:connection id="Table1" autoDelete="1">
          <x15:rangePr sourceName="_xlcn.WorksheetConnection_project2.xlsxTable11"/>
        </x15:connection>
      </ext>
    </extLst>
  </connection>
</connections>
</file>

<file path=xl/sharedStrings.xml><?xml version="1.0" encoding="utf-8"?>
<sst xmlns="http://schemas.openxmlformats.org/spreadsheetml/2006/main" count="993" uniqueCount="167">
  <si>
    <t>Customer_ID</t>
  </si>
  <si>
    <t>Customer_Name</t>
  </si>
  <si>
    <t>Region</t>
  </si>
  <si>
    <t>Product_Category</t>
  </si>
  <si>
    <t>Sales</t>
  </si>
  <si>
    <t>Quantity</t>
  </si>
  <si>
    <t>Discount</t>
  </si>
  <si>
    <t>Order_Date</t>
  </si>
  <si>
    <t>Profit</t>
  </si>
  <si>
    <t>CUST019</t>
  </si>
  <si>
    <t>James Davis</t>
  </si>
  <si>
    <t>West</t>
  </si>
  <si>
    <t>Books</t>
  </si>
  <si>
    <t>CUST012</t>
  </si>
  <si>
    <t>Robert Anderson</t>
  </si>
  <si>
    <t>Clothing</t>
  </si>
  <si>
    <t>CUST017</t>
  </si>
  <si>
    <t>James Taylor</t>
  </si>
  <si>
    <t>East</t>
  </si>
  <si>
    <t>CUST005</t>
  </si>
  <si>
    <t>South</t>
  </si>
  <si>
    <t>Electronics</t>
  </si>
  <si>
    <t>CUST030</t>
  </si>
  <si>
    <t>James Wilson</t>
  </si>
  <si>
    <t>North</t>
  </si>
  <si>
    <t>CUST007</t>
  </si>
  <si>
    <t>Michael Anderson</t>
  </si>
  <si>
    <t>Furniture</t>
  </si>
  <si>
    <t>CUST001</t>
  </si>
  <si>
    <t>Linda Wilson</t>
  </si>
  <si>
    <t>CUST026</t>
  </si>
  <si>
    <t>Mary Davis</t>
  </si>
  <si>
    <t>CUST009</t>
  </si>
  <si>
    <t>Linda Jackson</t>
  </si>
  <si>
    <t>Central</t>
  </si>
  <si>
    <t>CUST010</t>
  </si>
  <si>
    <t>David Thomas</t>
  </si>
  <si>
    <t>CUST014</t>
  </si>
  <si>
    <t>Emma Davis</t>
  </si>
  <si>
    <t>Office Supplies</t>
  </si>
  <si>
    <t>CUST023</t>
  </si>
  <si>
    <t>CUST029</t>
  </si>
  <si>
    <t>David Smith</t>
  </si>
  <si>
    <t>Sarah Anderson</t>
  </si>
  <si>
    <t>CUST008</t>
  </si>
  <si>
    <t>Lisa Thomas</t>
  </si>
  <si>
    <t>CUST006</t>
  </si>
  <si>
    <t>Mary Jackson</t>
  </si>
  <si>
    <t>Lisa Davis</t>
  </si>
  <si>
    <t>CUST022</t>
  </si>
  <si>
    <t>Linda Brown</t>
  </si>
  <si>
    <t>John Brown</t>
  </si>
  <si>
    <t>CUST028</t>
  </si>
  <si>
    <t>Linda Taylor</t>
  </si>
  <si>
    <t>CUST025</t>
  </si>
  <si>
    <t>David Brown</t>
  </si>
  <si>
    <t>David Davis</t>
  </si>
  <si>
    <t>CUST021</t>
  </si>
  <si>
    <t>CUST015</t>
  </si>
  <si>
    <t>Mary Wilson</t>
  </si>
  <si>
    <t>CUST016</t>
  </si>
  <si>
    <t>Emma Wilson</t>
  </si>
  <si>
    <t>Linda Davis</t>
  </si>
  <si>
    <t>CUST011</t>
  </si>
  <si>
    <t>Sarah Davis</t>
  </si>
  <si>
    <t>CUST002</t>
  </si>
  <si>
    <t>Emma Taylor</t>
  </si>
  <si>
    <t>CUST003</t>
  </si>
  <si>
    <t>CUST020</t>
  </si>
  <si>
    <t>Linda Moore</t>
  </si>
  <si>
    <t>CUST024</t>
  </si>
  <si>
    <t>David Anderson</t>
  </si>
  <si>
    <t>CUST004</t>
  </si>
  <si>
    <t>CUST013</t>
  </si>
  <si>
    <t>CUST027</t>
  </si>
  <si>
    <t>CUST018</t>
  </si>
  <si>
    <t>Row Labels</t>
  </si>
  <si>
    <t>Grand Total</t>
  </si>
  <si>
    <t>Sum of Sales</t>
  </si>
  <si>
    <t>D_Type</t>
  </si>
  <si>
    <t>Sum of Profit</t>
  </si>
  <si>
    <t>High Discount</t>
  </si>
  <si>
    <t>Low Discount</t>
  </si>
  <si>
    <t>Medium Discount</t>
  </si>
  <si>
    <t>No Discount</t>
  </si>
  <si>
    <t>Scenario Summary</t>
  </si>
  <si>
    <t>Changing Cells:</t>
  </si>
  <si>
    <t>Current Values:</t>
  </si>
  <si>
    <t>Notes:  Current Values column represents values of changing cells at</t>
  </si>
  <si>
    <t>time Scenario Summary Report was created.  Changing cells for each</t>
  </si>
  <si>
    <t>scenario are highlighted in gray.</t>
  </si>
  <si>
    <t>5% UP</t>
  </si>
  <si>
    <t>10% UP</t>
  </si>
  <si>
    <t>15% UP</t>
  </si>
  <si>
    <t>High discount</t>
  </si>
  <si>
    <t>Total</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</si>
  <si>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</si>
  <si>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</si>
  <si>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</si>
  <si>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</si>
  <si>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</si>
  <si>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</si>
  <si>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</si>
  <si>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</si>
  <si>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</si>
  <si>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</si>
  <si>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</si>
  <si>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</si>
  <si>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</si>
  <si>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</si>
  <si>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</si>
  <si>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</si>
  <si>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</si>
  <si>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</si>
  <si>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</si>
  <si>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</si>
  <si>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</si>
  <si>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</si>
  <si>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</si>
  <si>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Mean</t>
  </si>
  <si>
    <t>Median</t>
  </si>
  <si>
    <t>Mode</t>
  </si>
  <si>
    <t>Standard Deviation</t>
  </si>
  <si>
    <t>Sample Variance</t>
  </si>
  <si>
    <t>Kurtosis</t>
  </si>
  <si>
    <t>Skewness</t>
  </si>
  <si>
    <t>Range</t>
  </si>
  <si>
    <t>Minimum</t>
  </si>
  <si>
    <t>Maximum</t>
  </si>
  <si>
    <t>Sum</t>
  </si>
  <si>
    <t>Count</t>
  </si>
  <si>
    <t>Profit Descriptive Statistics</t>
  </si>
  <si>
    <t>Top 10 Sellers Name</t>
  </si>
  <si>
    <t>Jan</t>
  </si>
  <si>
    <t>Feb</t>
  </si>
  <si>
    <t>Mar</t>
  </si>
  <si>
    <t>Apr</t>
  </si>
  <si>
    <t>May</t>
  </si>
  <si>
    <t>Jun</t>
  </si>
  <si>
    <t>Jul</t>
  </si>
  <si>
    <t>Aug</t>
  </si>
  <si>
    <t>Sep</t>
  </si>
  <si>
    <t>Oct</t>
  </si>
  <si>
    <t>Nov</t>
  </si>
  <si>
    <t>Dec</t>
  </si>
  <si>
    <t>Monthly Sales Growth</t>
  </si>
  <si>
    <t>Column Labels</t>
  </si>
  <si>
    <t>Timestamp</t>
  </si>
  <si>
    <t>High_Sales</t>
  </si>
  <si>
    <t>Highest Seales Customer  =&gt;&gt;</t>
  </si>
  <si>
    <t>Region Sales</t>
  </si>
  <si>
    <t>Product Sales</t>
  </si>
  <si>
    <t xml:space="preserve">Product Discount Vs Profit </t>
  </si>
  <si>
    <t>High Value Customer VS Revenue</t>
  </si>
  <si>
    <t>High purchase</t>
  </si>
  <si>
    <t>Normal purchase</t>
  </si>
  <si>
    <t>Profit Margin</t>
  </si>
  <si>
    <t>Average of Profit Margin</t>
  </si>
  <si>
    <t>Correlation Between Discount &amp; Profit</t>
  </si>
  <si>
    <t>Average of Profit</t>
  </si>
  <si>
    <t>Bottom Sellers Name</t>
  </si>
  <si>
    <t>Product Margin</t>
  </si>
  <si>
    <t>Category</t>
  </si>
  <si>
    <t>Total Sales</t>
  </si>
  <si>
    <t>Top 10 Customers</t>
  </si>
  <si>
    <t>Others Customers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</si>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</sst>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Gill Sans MT"/>
      <family val="2"/>
      <scheme val="minor"/>
    </font>
    <font>
      <b/>
      <sz val="11"/>
      <color theme="1"/>
      <name val="Gill Sans MT"/>
      <family val="2"/>
      <scheme val="minor"/>
    </font>
    <font>
      <b/>
      <sz val="12"/>
      <color indexed="9"/>
      <name val="Gill Sans MT"/>
      <family val="2"/>
      <scheme val="minor"/>
    </font>
    <font>
      <b/>
      <sz val="11"/>
      <color indexed="8"/>
      <name val="Gill Sans MT"/>
      <family val="2"/>
      <scheme val="minor"/>
    </font>
    <font>
      <b/>
      <sz val="11"/>
      <color indexed="18"/>
      <name val="Gill Sans MT"/>
      <family val="2"/>
      <scheme val="minor"/>
    </font>
    <font>
      <sz val="10"/>
      <color indexed="9"/>
      <name val="Gill Sans MT"/>
      <family val="2"/>
      <scheme val="minor"/>
    </font>
    <font>
      <sz val="8"/>
      <color theme="1"/>
      <name val="Gill Sans MT"/>
      <family val="2"/>
      <scheme val="minor"/>
    </font>
    <font>
      <b/>
      <sz val="11"/>
      <color theme="0"/>
      <name val="Gill Sans MT"/>
      <family val="2"/>
      <scheme val="minor"/>
    </font>
    <font>
      <sz val="11"/>
      <color theme="0"/>
      <name val="Gill Sans MT"/>
      <family val="2"/>
      <scheme val="minor"/>
    </font>
    <font>
      <i/>
      <sz val="11"/>
      <color theme="1"/>
      <name val="Gill Sans MT"/>
      <family val="2"/>
      <scheme val="minor"/>
    </font>
    <font>
      <sz val="8"/>
      <name val="Gill Sans MT"/>
      <family val="2"/>
      <scheme val="minor"/>
    </font>
    <font>
      <sz val="72"/>
      <color theme="1"/>
      <name val="Gill Sans MT"/>
      <family val="2"/>
      <scheme val="minor"/>
    </font>
    <font>
      <sz val="72"/>
      <color theme="0"/>
      <name val="Gill Sans MT"/>
      <family val="2"/>
      <scheme val="minor"/>
    </font>
  </fonts>
  <fills count="7">
    <fill>
      <patternFill patternType="none"/>
    </fill>
    <fill>
      <patternFill patternType="gray125"/>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0070C0"/>
        <bgColor indexed="64"/>
      </patternFill>
    </fill>
    <fill>
      <patternFill patternType="solid">
        <fgColor theme="1" tint="0.499984740745262"/>
        <bgColor indexed="64"/>
      </patternFill>
    </fill>
  </fills>
  <borders count="16">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58">
    <xf numFmtId="0" fontId="0" fillId="0" borderId="0" xfId="0"/>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2"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8" xfId="0" applyBorder="1" applyAlignment="1">
      <alignment horizontal="right" wrapText="1"/>
    </xf>
    <xf numFmtId="14" fontId="0" fillId="0" borderId="8" xfId="0" applyNumberFormat="1" applyBorder="1" applyAlignment="1">
      <alignment horizontal="right" wrapText="1"/>
    </xf>
    <xf numFmtId="0" fontId="1" fillId="0" borderId="5" xfId="0" applyFont="1" applyBorder="1" applyAlignment="1">
      <alignment horizontal="left" wrapText="1"/>
    </xf>
    <xf numFmtId="0" fontId="1" fillId="0" borderId="4" xfId="0" applyFont="1" applyBorder="1" applyAlignment="1">
      <alignment horizontal="left" wrapText="1"/>
    </xf>
    <xf numFmtId="0" fontId="0" fillId="0" borderId="0" xfId="0" pivotButton="1"/>
    <xf numFmtId="0" fontId="0" fillId="0" borderId="0" xfId="0" applyAlignment="1">
      <alignment horizontal="left"/>
    </xf>
    <xf numFmtId="0" fontId="0" fillId="0" borderId="1" xfId="0" applyBorder="1" applyAlignment="1">
      <alignment horizontal="center" wrapText="1"/>
    </xf>
    <xf numFmtId="0" fontId="1" fillId="0" borderId="5" xfId="0" applyFont="1" applyBorder="1" applyAlignment="1">
      <alignment horizontal="center" wrapText="1"/>
    </xf>
    <xf numFmtId="0" fontId="0" fillId="0" borderId="5" xfId="0" applyBorder="1" applyAlignment="1">
      <alignment horizontal="center" wrapText="1"/>
    </xf>
    <xf numFmtId="0" fontId="0" fillId="0" borderId="8" xfId="0" applyBorder="1" applyAlignment="1">
      <alignment horizontal="center" wrapText="1"/>
    </xf>
    <xf numFmtId="0" fontId="0" fillId="0" borderId="0" xfId="0" applyAlignment="1">
      <alignment horizontal="center"/>
    </xf>
    <xf numFmtId="0" fontId="2" fillId="2" borderId="11" xfId="0" applyFont="1" applyFill="1" applyBorder="1" applyAlignment="1">
      <alignment horizontal="left"/>
    </xf>
    <xf numFmtId="0" fontId="2" fillId="2" borderId="10" xfId="0" applyFont="1" applyFill="1" applyBorder="1" applyAlignment="1">
      <alignment horizontal="left"/>
    </xf>
    <xf numFmtId="0" fontId="0" fillId="0" borderId="12" xfId="0" applyBorder="1"/>
    <xf numFmtId="0" fontId="3" fillId="3" borderId="0" xfId="0" applyFont="1" applyFill="1" applyAlignment="1">
      <alignment horizontal="left"/>
    </xf>
    <xf numFmtId="0" fontId="4" fillId="3" borderId="12" xfId="0" applyFont="1" applyFill="1" applyBorder="1" applyAlignment="1">
      <alignment horizontal="left"/>
    </xf>
    <xf numFmtId="0" fontId="5" fillId="2" borderId="10" xfId="0" applyFont="1" applyFill="1" applyBorder="1" applyAlignment="1">
      <alignment horizontal="right"/>
    </xf>
    <xf numFmtId="0" fontId="5" fillId="2" borderId="11" xfId="0" applyFont="1" applyFill="1" applyBorder="1" applyAlignment="1">
      <alignment horizontal="right"/>
    </xf>
    <xf numFmtId="0" fontId="4" fillId="3" borderId="13" xfId="0" applyFont="1" applyFill="1" applyBorder="1" applyAlignment="1">
      <alignment horizontal="left"/>
    </xf>
    <xf numFmtId="0" fontId="0" fillId="0" borderId="13" xfId="0" applyBorder="1"/>
    <xf numFmtId="0" fontId="0" fillId="4" borderId="0" xfId="0" applyFill="1"/>
    <xf numFmtId="0" fontId="6" fillId="0" borderId="0" xfId="0" applyFont="1" applyAlignment="1">
      <alignment vertical="top" wrapText="1"/>
    </xf>
    <xf numFmtId="2" fontId="1" fillId="0" borderId="5" xfId="0" applyNumberFormat="1" applyFont="1" applyBorder="1" applyAlignment="1">
      <alignment horizontal="left" wrapText="1"/>
    </xf>
    <xf numFmtId="2" fontId="0" fillId="0" borderId="1" xfId="0" applyNumberFormat="1" applyBorder="1" applyAlignment="1">
      <alignment horizontal="right" wrapText="1"/>
    </xf>
    <xf numFmtId="2" fontId="0" fillId="0" borderId="8" xfId="0" applyNumberFormat="1" applyBorder="1" applyAlignment="1">
      <alignment horizontal="right" wrapText="1"/>
    </xf>
    <xf numFmtId="2" fontId="0" fillId="0" borderId="0" xfId="0" applyNumberFormat="1"/>
    <xf numFmtId="2" fontId="1" fillId="0" borderId="6" xfId="0" applyNumberFormat="1" applyFont="1" applyBorder="1" applyAlignment="1">
      <alignment horizontal="left" wrapText="1"/>
    </xf>
    <xf numFmtId="2" fontId="0" fillId="0" borderId="3" xfId="0" applyNumberFormat="1" applyBorder="1" applyAlignment="1">
      <alignment horizontal="right" wrapText="1"/>
    </xf>
    <xf numFmtId="2" fontId="0" fillId="0" borderId="9" xfId="0" applyNumberFormat="1" applyBorder="1" applyAlignment="1">
      <alignment horizontal="right" wrapText="1"/>
    </xf>
    <xf numFmtId="0" fontId="0" fillId="0" borderId="14" xfId="0" applyBorder="1"/>
    <xf numFmtId="0" fontId="9" fillId="0" borderId="15" xfId="0" applyFont="1" applyBorder="1" applyAlignment="1">
      <alignment horizontal="center"/>
    </xf>
    <xf numFmtId="0" fontId="9" fillId="0" borderId="15" xfId="0" applyFont="1" applyBorder="1" applyAlignment="1">
      <alignment horizontal="centerContinuous"/>
    </xf>
    <xf numFmtId="14" fontId="1" fillId="0" borderId="5" xfId="0" applyNumberFormat="1" applyFont="1" applyBorder="1" applyAlignment="1">
      <alignment horizontal="left" wrapText="1"/>
    </xf>
    <xf numFmtId="14" fontId="0" fillId="0" borderId="0" xfId="0" applyNumberFormat="1"/>
    <xf numFmtId="0" fontId="0" fillId="0" borderId="0" xfId="0" applyAlignment="1">
      <alignment horizontal="right" wrapText="1"/>
    </xf>
    <xf numFmtId="22" fontId="0" fillId="0" borderId="0" xfId="0" applyNumberFormat="1" applyAlignment="1">
      <alignment horizontal="right" wrapText="1"/>
    </xf>
    <xf numFmtId="9" fontId="0" fillId="0" borderId="0" xfId="0" applyNumberFormat="1"/>
    <xf numFmtId="10" fontId="0" fillId="0" borderId="0" xfId="0" applyNumberFormat="1"/>
    <xf numFmtId="0" fontId="8" fillId="5" borderId="0" xfId="0" applyFont="1" applyFill="1"/>
    <xf numFmtId="0" fontId="0" fillId="6" borderId="0" xfId="0" applyFill="1"/>
    <xf numFmtId="10" fontId="1" fillId="0" borderId="5" xfId="0" applyNumberFormat="1" applyFont="1" applyBorder="1" applyAlignment="1">
      <alignment horizontal="left" wrapText="1"/>
    </xf>
    <xf numFmtId="10" fontId="0" fillId="0" borderId="0" xfId="0" applyNumberFormat="1" applyAlignment="1">
      <alignment horizontal="right" wrapText="1"/>
    </xf>
    <xf numFmtId="0" fontId="1" fillId="0" borderId="0" xfId="0" applyFont="1"/>
    <xf numFmtId="0" fontId="1" fillId="0" borderId="15" xfId="0" applyFont="1" applyBorder="1" applyAlignment="1">
      <alignment horizontal="center"/>
    </xf>
    <xf numFmtId="0" fontId="9" fillId="0" borderId="15" xfId="0" applyFont="1" applyBorder="1" applyAlignment="1">
      <alignment horizontal="center"/>
    </xf>
    <xf numFmtId="0" fontId="1" fillId="0" borderId="0" xfId="0" applyFont="1" applyAlignment="1">
      <alignment horizontal="center"/>
    </xf>
    <xf numFmtId="0" fontId="0" fillId="0" borderId="0" xfId="0" applyAlignment="1">
      <alignment horizontal="center"/>
    </xf>
    <xf numFmtId="0" fontId="7" fillId="5" borderId="0" xfId="0" applyFont="1" applyFill="1" applyAlignment="1">
      <alignment horizontal="center"/>
    </xf>
    <xf numFmtId="0" fontId="8" fillId="5" borderId="0" xfId="0" applyFont="1" applyFill="1" applyAlignment="1">
      <alignment horizontal="center"/>
    </xf>
    <xf numFmtId="0" fontId="11" fillId="6" borderId="0" xfId="0" applyFont="1" applyFill="1" applyAlignment="1">
      <alignment horizontal="center"/>
    </xf>
    <xf numFmtId="0" fontId="12" fillId="6" borderId="0" xfId="0" applyFont="1" applyFill="1" applyAlignment="1">
      <alignment horizontal="center"/>
    </xf>
  </cellXfs>
  <cellStyles count="1">
    <cellStyle name="Normal" xfId="0" builtinId="0"/>
  </cellStyles>
  <dxfs count="19">
    <dxf>
      <numFmt numFmtId="14" formatCode="0.00%"/>
      <alignment horizontal="right" vertical="bottom" textRotation="0" wrapText="1" indent="0" justifyLastLine="0" shrinkToFit="0" readingOrder="0"/>
    </dxf>
    <dxf>
      <numFmt numFmtId="0" formatCode="General"/>
      <alignment horizontal="right" vertical="bottom" textRotation="0" wrapText="1" indent="0" justifyLastLine="0" shrinkToFit="0" readingOrder="0"/>
    </dxf>
    <dxf>
      <numFmt numFmtId="27" formatCode="dd/mm/yyyy\ hh:mm"/>
      <alignment horizontal="right" vertical="bottom" textRotation="0" wrapText="1" indent="0" justifyLastLine="0" shrinkToFit="0" readingOrder="0"/>
    </dxf>
    <dxf>
      <numFmt numFmtId="0" formatCode="General"/>
      <alignment horizontal="center" vertical="bottom" textRotation="0" wrapText="1" indent="0" justifyLastLine="0" shrinkToFit="0" readingOrder="0"/>
      <border diagonalUp="0" diagonalDown="0" outline="0">
        <left/>
        <right style="medium">
          <color rgb="FFCCCCCC"/>
        </right>
        <top style="medium">
          <color rgb="FFCCCCCC"/>
        </top>
        <bottom style="medium">
          <color rgb="FFCCCCCC"/>
        </bottom>
      </border>
    </dxf>
    <dxf>
      <numFmt numFmtId="2" formatCode="0.00"/>
      <alignment horizontal="right" vertical="bottom" textRotation="0" wrapText="1" indent="0" justifyLastLine="0" shrinkToFit="0" readingOrder="0"/>
      <border diagonalUp="0" diagonalDown="0" outline="0">
        <left style="medium">
          <color rgb="FFCCCCCC"/>
        </left>
        <right/>
        <top style="medium">
          <color rgb="FFCCCCCC"/>
        </top>
        <bottom style="medium">
          <color rgb="FFCCCCCC"/>
        </bottom>
      </border>
    </dxf>
    <dxf>
      <numFmt numFmtId="19" formatCode="dd/mm/yyyy"/>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 formatCode="0.00"/>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alignment horizontal="right" vertical="bottom" textRotation="0" wrapText="1" indent="0" justifyLastLine="0" shrinkToFit="0" readingOrder="0"/>
    </dxf>
    <dxf>
      <border outline="0">
        <bottom style="medium">
          <color rgb="FFCCCCCC"/>
        </bottom>
      </border>
    </dxf>
    <dxf>
      <font>
        <b/>
        <i val="0"/>
        <strike val="0"/>
        <condense val="0"/>
        <extend val="0"/>
        <outline val="0"/>
        <shadow val="0"/>
        <u val="none"/>
        <vertAlign val="baseline"/>
        <sz val="11"/>
        <color theme="1"/>
        <name val="Gill Sans MT"/>
        <family val="2"/>
        <scheme val="minor"/>
      </font>
      <alignment horizontal="left" vertical="bottom" textRotation="0" wrapText="1" indent="0" justifyLastLine="0" shrinkToFit="0" readingOrder="0"/>
      <border diagonalUp="0" diagonalDown="0" outline="0">
        <left style="medium">
          <color rgb="FFCCCCCC"/>
        </left>
        <right style="medium">
          <color rgb="FFCCCCCC"/>
        </right>
        <top/>
        <bottom/>
      </border>
    </dxf>
    <dxf>
      <font>
        <b/>
        <i val="0"/>
        <strike val="0"/>
        <condense val="0"/>
        <extend val="0"/>
        <outline val="0"/>
        <shadow val="0"/>
        <u val="none"/>
        <vertAlign val="baseline"/>
        <sz val="11"/>
        <color theme="1"/>
        <name val="Gill Sans MT"/>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1.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tx>
            <c:strRef>
              <c:f>'Scenario Summary'!$B$4:$C$4</c:f>
              <c:strCache>
                <c:ptCount val="2"/>
                <c:pt idx="0">
                  <c:v>Scenario Summary</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Summary'!$D$4:$G$4</c:f>
            </c:numRef>
          </c:val>
          <c:extLst>
            <c:ext xmlns:c16="http://schemas.microsoft.com/office/drawing/2014/chart" uri="{C3380CC4-5D6E-409C-BE32-E72D297353CC}">
              <c16:uniqueId val="{00000000-6028-4FAB-9C6A-89A2C09BB8CA}"/>
            </c:ext>
          </c:extLst>
        </c:ser>
        <c:dLbls>
          <c:dLblPos val="outEnd"/>
          <c:showLegendKey val="0"/>
          <c:showVal val="1"/>
          <c:showCatName val="0"/>
          <c:showSerName val="0"/>
          <c:showPercent val="0"/>
          <c:showBubbleSize val="0"/>
        </c:dLbls>
        <c:gapWidth val="279"/>
        <c:overlap val="-86"/>
        <c:axId val="2045965503"/>
        <c:axId val="2045963583"/>
      </c:barChart>
      <c:barChart>
        <c:barDir val="bar"/>
        <c:grouping val="clustered"/>
        <c:varyColors val="0"/>
        <c:ser>
          <c:idx val="1"/>
          <c:order val="1"/>
          <c:tx>
            <c:strRef>
              <c:f>'Scenario Summary'!$B$5:$C$5</c:f>
              <c:strCache>
                <c:ptCount val="2"/>
                <c:pt idx="0">
                  <c:v>Changing Cells:</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Summary'!$D$5:$G$5</c:f>
              <c:numCache>
                <c:formatCode>General</c:formatCode>
                <c:ptCount val="4"/>
              </c:numCache>
            </c:numRef>
          </c:val>
          <c:extLst>
            <c:ext xmlns:c16="http://schemas.microsoft.com/office/drawing/2014/chart" uri="{C3380CC4-5D6E-409C-BE32-E72D297353CC}">
              <c16:uniqueId val="{00000001-6028-4FAB-9C6A-89A2C09BB8CA}"/>
            </c:ext>
          </c:extLst>
        </c:ser>
        <c:ser>
          <c:idx val="2"/>
          <c:order val="2"/>
          <c:tx>
            <c:strRef>
              <c:f>'Scenario Summary'!$B$6:$C$6</c:f>
              <c:strCache>
                <c:ptCount val="2"/>
                <c:pt idx="0">
                  <c:v>Changing Cells:</c:v>
                </c:pt>
                <c:pt idx="1">
                  <c:v>High discount</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Summary'!$D$6:$G$6</c:f>
              <c:numCache>
                <c:formatCode>General</c:formatCode>
                <c:ptCount val="4"/>
                <c:pt idx="0">
                  <c:v>13253.9</c:v>
                </c:pt>
                <c:pt idx="1">
                  <c:v>13916.594999999999</c:v>
                </c:pt>
                <c:pt idx="2">
                  <c:v>15241.985000000001</c:v>
                </c:pt>
                <c:pt idx="3">
                  <c:v>17230.07</c:v>
                </c:pt>
              </c:numCache>
            </c:numRef>
          </c:val>
          <c:extLst>
            <c:ext xmlns:c16="http://schemas.microsoft.com/office/drawing/2014/chart" uri="{C3380CC4-5D6E-409C-BE32-E72D297353CC}">
              <c16:uniqueId val="{00000002-6028-4FAB-9C6A-89A2C09BB8CA}"/>
            </c:ext>
          </c:extLst>
        </c:ser>
        <c:ser>
          <c:idx val="3"/>
          <c:order val="3"/>
          <c:tx>
            <c:strRef>
              <c:f>'Scenario Summary'!$B$7:$C$7</c:f>
              <c:strCache>
                <c:ptCount val="2"/>
                <c:pt idx="0">
                  <c:v>Changing Cells:</c:v>
                </c:pt>
                <c:pt idx="1">
                  <c:v>Low Discount</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Summary'!$D$7:$G$7</c:f>
              <c:numCache>
                <c:formatCode>General</c:formatCode>
                <c:ptCount val="4"/>
                <c:pt idx="0">
                  <c:v>29851.040000000001</c:v>
                </c:pt>
                <c:pt idx="1">
                  <c:v>31343.592000000001</c:v>
                </c:pt>
                <c:pt idx="2">
                  <c:v>34328.696000000004</c:v>
                </c:pt>
                <c:pt idx="3">
                  <c:v>38806.351999999999</c:v>
                </c:pt>
              </c:numCache>
            </c:numRef>
          </c:val>
          <c:extLst>
            <c:ext xmlns:c16="http://schemas.microsoft.com/office/drawing/2014/chart" uri="{C3380CC4-5D6E-409C-BE32-E72D297353CC}">
              <c16:uniqueId val="{00000003-6028-4FAB-9C6A-89A2C09BB8CA}"/>
            </c:ext>
          </c:extLst>
        </c:ser>
        <c:ser>
          <c:idx val="4"/>
          <c:order val="4"/>
          <c:tx>
            <c:strRef>
              <c:f>'Scenario Summary'!$B$8:$C$8</c:f>
              <c:strCache>
                <c:ptCount val="2"/>
                <c:pt idx="0">
                  <c:v>Changing Cells:</c:v>
                </c:pt>
                <c:pt idx="1">
                  <c:v>Medium Discount</c:v>
                </c:pt>
              </c:strCache>
            </c:strRef>
          </c:tx>
          <c:spPr>
            <a:gradFill rotWithShape="1">
              <a:gsLst>
                <a:gs pos="0">
                  <a:schemeClr val="accent5">
                    <a:tint val="98000"/>
                    <a:lumMod val="110000"/>
                  </a:schemeClr>
                </a:gs>
                <a:gs pos="84000">
                  <a:schemeClr val="accent5">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Summary'!$D$8:$G$8</c:f>
              <c:numCache>
                <c:formatCode>General</c:formatCode>
                <c:ptCount val="4"/>
                <c:pt idx="0">
                  <c:v>9571.4</c:v>
                </c:pt>
                <c:pt idx="1">
                  <c:v>10049.969999999999</c:v>
                </c:pt>
                <c:pt idx="2">
                  <c:v>11007.11</c:v>
                </c:pt>
                <c:pt idx="3">
                  <c:v>12442.82</c:v>
                </c:pt>
              </c:numCache>
            </c:numRef>
          </c:val>
          <c:extLst>
            <c:ext xmlns:c16="http://schemas.microsoft.com/office/drawing/2014/chart" uri="{C3380CC4-5D6E-409C-BE32-E72D297353CC}">
              <c16:uniqueId val="{00000007-6028-4FAB-9C6A-89A2C09BB8CA}"/>
            </c:ext>
          </c:extLst>
        </c:ser>
        <c:ser>
          <c:idx val="5"/>
          <c:order val="5"/>
          <c:tx>
            <c:strRef>
              <c:f>'Scenario Summary'!$B$9:$C$9</c:f>
              <c:strCache>
                <c:ptCount val="2"/>
                <c:pt idx="0">
                  <c:v>Changing Cells:</c:v>
                </c:pt>
                <c:pt idx="1">
                  <c:v>No Discount</c:v>
                </c:pt>
              </c:strCache>
            </c:strRef>
          </c:tx>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Summary'!$D$9:$G$9</c:f>
              <c:numCache>
                <c:formatCode>General</c:formatCode>
                <c:ptCount val="4"/>
                <c:pt idx="0">
                  <c:v>15610.67</c:v>
                </c:pt>
                <c:pt idx="1">
                  <c:v>16391.2035</c:v>
                </c:pt>
                <c:pt idx="2">
                  <c:v>17952.270499999999</c:v>
                </c:pt>
                <c:pt idx="3">
                  <c:v>20293.870999999999</c:v>
                </c:pt>
              </c:numCache>
            </c:numRef>
          </c:val>
          <c:extLst>
            <c:ext xmlns:c16="http://schemas.microsoft.com/office/drawing/2014/chart" uri="{C3380CC4-5D6E-409C-BE32-E72D297353CC}">
              <c16:uniqueId val="{00000008-6028-4FAB-9C6A-89A2C09BB8CA}"/>
            </c:ext>
          </c:extLst>
        </c:ser>
        <c:ser>
          <c:idx val="6"/>
          <c:order val="6"/>
          <c:tx>
            <c:strRef>
              <c:f>'Scenario Summary'!$B$10:$C$10</c:f>
              <c:strCache>
                <c:ptCount val="2"/>
                <c:pt idx="0">
                  <c:v>Changing Cells:</c:v>
                </c:pt>
                <c:pt idx="1">
                  <c:v>Total</c:v>
                </c:pt>
              </c:strCache>
            </c:strRef>
          </c:tx>
          <c:spPr>
            <a:gradFill rotWithShape="1">
              <a:gsLst>
                <a:gs pos="0">
                  <a:schemeClr val="accent1">
                    <a:lumMod val="60000"/>
                    <a:tint val="98000"/>
                    <a:lumMod val="110000"/>
                  </a:schemeClr>
                </a:gs>
                <a:gs pos="84000">
                  <a:schemeClr val="accent1">
                    <a:lumMod val="60000"/>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'Scenario Summary'!$D$2:$G$3</c:f>
              <c:strCache>
                <c:ptCount val="4"/>
                <c:pt idx="0">
                  <c:v>Current Values:</c:v>
                </c:pt>
                <c:pt idx="1">
                  <c:v>5% UP</c:v>
                </c:pt>
                <c:pt idx="2">
                  <c:v>10% UP</c:v>
                </c:pt>
                <c:pt idx="3">
                  <c:v>15% UP</c:v>
                </c:pt>
              </c:strCache>
            </c:strRef>
          </c:cat>
          <c:val>
            <c:numRef>
              <c:f>'Scenario Summary'!$D$10:$G$10</c:f>
              <c:numCache>
                <c:formatCode>General</c:formatCode>
                <c:ptCount val="4"/>
                <c:pt idx="0">
                  <c:v>68287.010000000009</c:v>
                </c:pt>
                <c:pt idx="1">
                  <c:v>71701.360499999995</c:v>
                </c:pt>
                <c:pt idx="2">
                  <c:v>78530.061500000011</c:v>
                </c:pt>
                <c:pt idx="3">
                  <c:v>88773.112999999998</c:v>
                </c:pt>
              </c:numCache>
            </c:numRef>
          </c:val>
          <c:extLst>
            <c:ext xmlns:c16="http://schemas.microsoft.com/office/drawing/2014/chart" uri="{C3380CC4-5D6E-409C-BE32-E72D297353CC}">
              <c16:uniqueId val="{00000009-6028-4FAB-9C6A-89A2C09BB8CA}"/>
            </c:ext>
          </c:extLst>
        </c:ser>
        <c:dLbls>
          <c:showLegendKey val="0"/>
          <c:showVal val="0"/>
          <c:showCatName val="0"/>
          <c:showSerName val="0"/>
          <c:showPercent val="0"/>
          <c:showBubbleSize val="0"/>
        </c:dLbls>
        <c:gapWidth val="110"/>
        <c:overlap val="-60"/>
        <c:axId val="2045965503"/>
        <c:axId val="2045963583"/>
      </c:barChart>
      <c:catAx>
        <c:axId val="20459655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3583"/>
        <c:crosses val="autoZero"/>
        <c:auto val="1"/>
        <c:lblAlgn val="ctr"/>
        <c:lblOffset val="100"/>
        <c:noMultiLvlLbl val="0"/>
      </c:catAx>
      <c:valAx>
        <c:axId val="204596358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55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a:t>
            </a:r>
            <a:r>
              <a:rPr lang="en-IN" baseline="0"/>
              <a:t> Sales Vs Region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2"/>
          <c:order val="0"/>
          <c:tx>
            <c:strRef>
              <c:f>PIVOTTABLES!$H$27</c:f>
              <c:strCache>
                <c:ptCount val="1"/>
                <c:pt idx="0">
                  <c:v>Sum of Profit</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PIVOTTABLES!$G$28:$G$33</c15:sqref>
                  </c15:fullRef>
                </c:ext>
              </c:extLst>
              <c:f>PIVOTTABLES!$G$28:$G$32</c:f>
              <c:strCache>
                <c:ptCount val="5"/>
                <c:pt idx="0">
                  <c:v>Central</c:v>
                </c:pt>
                <c:pt idx="1">
                  <c:v>East</c:v>
                </c:pt>
                <c:pt idx="2">
                  <c:v>North</c:v>
                </c:pt>
                <c:pt idx="3">
                  <c:v>South</c:v>
                </c:pt>
                <c:pt idx="4">
                  <c:v>West</c:v>
                </c:pt>
              </c:strCache>
            </c:strRef>
          </c:cat>
          <c:val>
            <c:numRef>
              <c:extLst>
                <c:ext xmlns:c15="http://schemas.microsoft.com/office/drawing/2012/chart" uri="{02D57815-91ED-43cb-92C2-25804820EDAC}">
                  <c15:fullRef>
                    <c15:sqref>PIVOTTABLES!$H$28:$H$33</c15:sqref>
                  </c15:fullRef>
                </c:ext>
              </c:extLst>
              <c:f>PIVOTTABLES!$H$28:$H$32</c:f>
              <c:numCache>
                <c:formatCode>0.00</c:formatCode>
                <c:ptCount val="5"/>
                <c:pt idx="0">
                  <c:v>16068.4</c:v>
                </c:pt>
                <c:pt idx="1">
                  <c:v>11638.589999999997</c:v>
                </c:pt>
                <c:pt idx="2">
                  <c:v>11902.279999999997</c:v>
                </c:pt>
                <c:pt idx="3">
                  <c:v>13691.910000000003</c:v>
                </c:pt>
                <c:pt idx="4">
                  <c:v>14985.830000000002</c:v>
                </c:pt>
              </c:numCache>
            </c:numRef>
          </c:val>
          <c:extLst>
            <c:ext xmlns:c16="http://schemas.microsoft.com/office/drawing/2014/chart" uri="{C3380CC4-5D6E-409C-BE32-E72D297353CC}">
              <c16:uniqueId val="{00000006-C32D-415A-B8E8-20B827B6D93B}"/>
            </c:ext>
          </c:extLst>
        </c:ser>
        <c:ser>
          <c:idx val="3"/>
          <c:order val="1"/>
          <c:tx>
            <c:strRef>
              <c:f>PIVOTTABLES!$I$27</c:f>
              <c:strCache>
                <c:ptCount val="1"/>
                <c:pt idx="0">
                  <c:v>Sum of Sales</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extLst>
                <c:ext xmlns:c15="http://schemas.microsoft.com/office/drawing/2012/chart" uri="{02D57815-91ED-43cb-92C2-25804820EDAC}">
                  <c15:fullRef>
                    <c15:sqref>PIVOTTABLES!$G$28:$G$33</c15:sqref>
                  </c15:fullRef>
                </c:ext>
              </c:extLst>
              <c:f>PIVOTTABLES!$G$28:$G$32</c:f>
              <c:strCache>
                <c:ptCount val="5"/>
                <c:pt idx="0">
                  <c:v>Central</c:v>
                </c:pt>
                <c:pt idx="1">
                  <c:v>East</c:v>
                </c:pt>
                <c:pt idx="2">
                  <c:v>North</c:v>
                </c:pt>
                <c:pt idx="3">
                  <c:v>South</c:v>
                </c:pt>
                <c:pt idx="4">
                  <c:v>West</c:v>
                </c:pt>
              </c:strCache>
            </c:strRef>
          </c:cat>
          <c:val>
            <c:numRef>
              <c:extLst>
                <c:ext xmlns:c15="http://schemas.microsoft.com/office/drawing/2012/chart" uri="{02D57815-91ED-43cb-92C2-25804820EDAC}">
                  <c15:fullRef>
                    <c15:sqref>PIVOTTABLES!$I$28:$I$33</c15:sqref>
                  </c15:fullRef>
                </c:ext>
              </c:extLst>
              <c:f>PIVOTTABLES!$I$28:$I$32</c:f>
              <c:numCache>
                <c:formatCode>0.00</c:formatCode>
                <c:ptCount val="5"/>
                <c:pt idx="0">
                  <c:v>43468.33</c:v>
                </c:pt>
                <c:pt idx="1">
                  <c:v>32441.64</c:v>
                </c:pt>
                <c:pt idx="2">
                  <c:v>34975.42</c:v>
                </c:pt>
                <c:pt idx="3">
                  <c:v>40248.79</c:v>
                </c:pt>
                <c:pt idx="4">
                  <c:v>44083.58</c:v>
                </c:pt>
              </c:numCache>
            </c:numRef>
          </c:val>
          <c:extLst>
            <c:ext xmlns:c16="http://schemas.microsoft.com/office/drawing/2014/chart" uri="{C3380CC4-5D6E-409C-BE32-E72D297353CC}">
              <c16:uniqueId val="{00000007-C32D-415A-B8E8-20B827B6D93B}"/>
            </c:ext>
          </c:extLst>
        </c:ser>
        <c:dLbls>
          <c:showLegendKey val="0"/>
          <c:showVal val="0"/>
          <c:showCatName val="0"/>
          <c:showSerName val="0"/>
          <c:showPercent val="0"/>
          <c:showBubbleSize val="0"/>
        </c:dLbls>
        <c:gapWidth val="100"/>
        <c:overlap val="-24"/>
        <c:axId val="203677247"/>
        <c:axId val="203676767"/>
      </c:barChart>
      <c:catAx>
        <c:axId val="2036772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76767"/>
        <c:crosses val="autoZero"/>
        <c:auto val="1"/>
        <c:lblAlgn val="ctr"/>
        <c:lblOffset val="100"/>
        <c:noMultiLvlLbl val="0"/>
      </c:catAx>
      <c:valAx>
        <c:axId val="20367676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67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(Recovered).xlsx]PIVOTTABLES!PivotTable18</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t>Total</a:t>
            </a:r>
            <a:r>
              <a:rPr lang="en-IN" b="1" baseline="0"/>
              <a:t> Sales Vs Product</a:t>
            </a:r>
            <a:endParaRPr lang="en-IN"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2"/>
          <c:order val="0"/>
          <c:tx>
            <c:strRef>
              <c:f>PIVOTTABLES!$B$59</c:f>
              <c:strCache>
                <c:ptCount val="1"/>
                <c:pt idx="0">
                  <c:v>Sum of Sales</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PIVOTTABLES!$A$60:$A$65</c:f>
              <c:strCache>
                <c:ptCount val="5"/>
                <c:pt idx="0">
                  <c:v>Books</c:v>
                </c:pt>
                <c:pt idx="1">
                  <c:v>Clothing</c:v>
                </c:pt>
                <c:pt idx="2">
                  <c:v>Electronics</c:v>
                </c:pt>
                <c:pt idx="3">
                  <c:v>Furniture</c:v>
                </c:pt>
                <c:pt idx="4">
                  <c:v>Office Supplies</c:v>
                </c:pt>
              </c:strCache>
            </c:strRef>
          </c:cat>
          <c:val>
            <c:numRef>
              <c:f>PIVOTTABLES!$B$60:$B$65</c:f>
              <c:numCache>
                <c:formatCode>General</c:formatCode>
                <c:ptCount val="5"/>
                <c:pt idx="0">
                  <c:v>47002.46</c:v>
                </c:pt>
                <c:pt idx="1">
                  <c:v>41927.589999999997</c:v>
                </c:pt>
                <c:pt idx="2">
                  <c:v>41044</c:v>
                </c:pt>
                <c:pt idx="3">
                  <c:v>36612.89</c:v>
                </c:pt>
                <c:pt idx="4">
                  <c:v>28630.82</c:v>
                </c:pt>
              </c:numCache>
            </c:numRef>
          </c:val>
          <c:extLst>
            <c:ext xmlns:c16="http://schemas.microsoft.com/office/drawing/2014/chart" uri="{C3380CC4-5D6E-409C-BE32-E72D297353CC}">
              <c16:uniqueId val="{00000007-7A0C-4AE7-A51B-9CC750698D70}"/>
            </c:ext>
          </c:extLst>
        </c:ser>
        <c:ser>
          <c:idx val="3"/>
          <c:order val="1"/>
          <c:tx>
            <c:strRef>
              <c:f>PIVOTTABLES!$C$59</c:f>
              <c:strCache>
                <c:ptCount val="1"/>
                <c:pt idx="0">
                  <c:v>Sum of Profit</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PIVOTTABLES!$A$60:$A$65</c:f>
              <c:strCache>
                <c:ptCount val="5"/>
                <c:pt idx="0">
                  <c:v>Books</c:v>
                </c:pt>
                <c:pt idx="1">
                  <c:v>Clothing</c:v>
                </c:pt>
                <c:pt idx="2">
                  <c:v>Electronics</c:v>
                </c:pt>
                <c:pt idx="3">
                  <c:v>Furniture</c:v>
                </c:pt>
                <c:pt idx="4">
                  <c:v>Office Supplies</c:v>
                </c:pt>
              </c:strCache>
            </c:strRef>
          </c:cat>
          <c:val>
            <c:numRef>
              <c:f>PIVOTTABLES!$C$60:$C$65</c:f>
              <c:numCache>
                <c:formatCode>General</c:formatCode>
                <c:ptCount val="5"/>
                <c:pt idx="0">
                  <c:v>16901.63</c:v>
                </c:pt>
                <c:pt idx="1">
                  <c:v>18784.490000000002</c:v>
                </c:pt>
                <c:pt idx="2">
                  <c:v>9182.15</c:v>
                </c:pt>
                <c:pt idx="3">
                  <c:v>11579.14</c:v>
                </c:pt>
                <c:pt idx="4">
                  <c:v>11839.6</c:v>
                </c:pt>
              </c:numCache>
            </c:numRef>
          </c:val>
          <c:extLst>
            <c:ext xmlns:c16="http://schemas.microsoft.com/office/drawing/2014/chart" uri="{C3380CC4-5D6E-409C-BE32-E72D297353CC}">
              <c16:uniqueId val="{00000008-7A0C-4AE7-A51B-9CC750698D70}"/>
            </c:ext>
          </c:extLst>
        </c:ser>
        <c:dLbls>
          <c:showLegendKey val="0"/>
          <c:showVal val="0"/>
          <c:showCatName val="0"/>
          <c:showSerName val="0"/>
          <c:showPercent val="0"/>
          <c:showBubbleSize val="0"/>
        </c:dLbls>
        <c:gapWidth val="100"/>
        <c:overlap val="-24"/>
        <c:axId val="434004559"/>
        <c:axId val="434011759"/>
      </c:barChart>
      <c:catAx>
        <c:axId val="43400455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11759"/>
        <c:crosses val="autoZero"/>
        <c:auto val="1"/>
        <c:lblAlgn val="ctr"/>
        <c:lblOffset val="100"/>
        <c:noMultiLvlLbl val="0"/>
      </c:catAx>
      <c:valAx>
        <c:axId val="4340117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34004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(Recovered).xlsx]PIVOTTABLES!PivotTable16</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Discount Vs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5"/>
          <c:order val="0"/>
          <c:tx>
            <c:strRef>
              <c:f>PIVOTTABLES!$B$46:$B$47</c:f>
              <c:strCache>
                <c:ptCount val="1"/>
                <c:pt idx="0">
                  <c:v>Books</c:v>
                </c:pt>
              </c:strCache>
            </c:strRef>
          </c:tx>
          <c:spPr>
            <a:gradFill rotWithShape="1">
              <a:gsLst>
                <a:gs pos="0">
                  <a:schemeClr val="accent6">
                    <a:tint val="98000"/>
                    <a:lumMod val="110000"/>
                  </a:schemeClr>
                </a:gs>
                <a:gs pos="84000">
                  <a:schemeClr val="accent6">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PIVOTTABLES!$A$48:$A$53</c:f>
              <c:strCache>
                <c:ptCount val="5"/>
                <c:pt idx="0">
                  <c:v>0</c:v>
                </c:pt>
                <c:pt idx="1">
                  <c:v>0.05</c:v>
                </c:pt>
                <c:pt idx="2">
                  <c:v>0.1</c:v>
                </c:pt>
                <c:pt idx="3">
                  <c:v>0.15</c:v>
                </c:pt>
                <c:pt idx="4">
                  <c:v>0.2</c:v>
                </c:pt>
              </c:strCache>
            </c:strRef>
          </c:cat>
          <c:val>
            <c:numRef>
              <c:f>PIVOTTABLES!$B$48:$B$53</c:f>
              <c:numCache>
                <c:formatCode>0.00</c:formatCode>
                <c:ptCount val="5"/>
                <c:pt idx="0">
                  <c:v>2543.16</c:v>
                </c:pt>
                <c:pt idx="1">
                  <c:v>4765.8499999999995</c:v>
                </c:pt>
                <c:pt idx="2">
                  <c:v>4024.9</c:v>
                </c:pt>
                <c:pt idx="3">
                  <c:v>2592.2699999999995</c:v>
                </c:pt>
                <c:pt idx="4">
                  <c:v>2975.45</c:v>
                </c:pt>
              </c:numCache>
            </c:numRef>
          </c:val>
          <c:extLst>
            <c:ext xmlns:c16="http://schemas.microsoft.com/office/drawing/2014/chart" uri="{C3380CC4-5D6E-409C-BE32-E72D297353CC}">
              <c16:uniqueId val="{0000001C-0A5A-4ABA-B54B-7268E50F7992}"/>
            </c:ext>
          </c:extLst>
        </c:ser>
        <c:ser>
          <c:idx val="0"/>
          <c:order val="1"/>
          <c:tx>
            <c:strRef>
              <c:f>PIVOTTABLES!$C$46:$C$47</c:f>
              <c:strCache>
                <c:ptCount val="1"/>
                <c:pt idx="0">
                  <c:v>Clothing</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PIVOTTABLES!$A$48:$A$53</c:f>
              <c:strCache>
                <c:ptCount val="5"/>
                <c:pt idx="0">
                  <c:v>0</c:v>
                </c:pt>
                <c:pt idx="1">
                  <c:v>0.05</c:v>
                </c:pt>
                <c:pt idx="2">
                  <c:v>0.1</c:v>
                </c:pt>
                <c:pt idx="3">
                  <c:v>0.15</c:v>
                </c:pt>
                <c:pt idx="4">
                  <c:v>0.2</c:v>
                </c:pt>
              </c:strCache>
            </c:strRef>
          </c:cat>
          <c:val>
            <c:numRef>
              <c:f>PIVOTTABLES!$C$48:$C$53</c:f>
              <c:numCache>
                <c:formatCode>0.00</c:formatCode>
                <c:ptCount val="5"/>
                <c:pt idx="0">
                  <c:v>4081.28</c:v>
                </c:pt>
                <c:pt idx="1">
                  <c:v>3358.8899999999994</c:v>
                </c:pt>
                <c:pt idx="2">
                  <c:v>5140.9399999999996</c:v>
                </c:pt>
                <c:pt idx="3">
                  <c:v>1625.86</c:v>
                </c:pt>
                <c:pt idx="4">
                  <c:v>4577.5200000000004</c:v>
                </c:pt>
              </c:numCache>
            </c:numRef>
          </c:val>
          <c:extLst>
            <c:ext xmlns:c16="http://schemas.microsoft.com/office/drawing/2014/chart" uri="{C3380CC4-5D6E-409C-BE32-E72D297353CC}">
              <c16:uniqueId val="{00000001-0173-4EDF-B87C-62576E6FC2CC}"/>
            </c:ext>
          </c:extLst>
        </c:ser>
        <c:ser>
          <c:idx val="1"/>
          <c:order val="2"/>
          <c:tx>
            <c:strRef>
              <c:f>PIVOTTABLES!$D$46:$D$47</c:f>
              <c:strCache>
                <c:ptCount val="1"/>
                <c:pt idx="0">
                  <c:v>Electronics</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PIVOTTABLES!$A$48:$A$53</c:f>
              <c:strCache>
                <c:ptCount val="5"/>
                <c:pt idx="0">
                  <c:v>0</c:v>
                </c:pt>
                <c:pt idx="1">
                  <c:v>0.05</c:v>
                </c:pt>
                <c:pt idx="2">
                  <c:v>0.1</c:v>
                </c:pt>
                <c:pt idx="3">
                  <c:v>0.15</c:v>
                </c:pt>
                <c:pt idx="4">
                  <c:v>0.2</c:v>
                </c:pt>
              </c:strCache>
            </c:strRef>
          </c:cat>
          <c:val>
            <c:numRef>
              <c:f>PIVOTTABLES!$D$48:$D$53</c:f>
              <c:numCache>
                <c:formatCode>0.00</c:formatCode>
                <c:ptCount val="5"/>
                <c:pt idx="0">
                  <c:v>2895.0699999999997</c:v>
                </c:pt>
                <c:pt idx="1">
                  <c:v>1325.1899999999998</c:v>
                </c:pt>
                <c:pt idx="2">
                  <c:v>896.44</c:v>
                </c:pt>
                <c:pt idx="3">
                  <c:v>1453.03</c:v>
                </c:pt>
                <c:pt idx="4">
                  <c:v>2612.42</c:v>
                </c:pt>
              </c:numCache>
            </c:numRef>
          </c:val>
          <c:extLst>
            <c:ext xmlns:c16="http://schemas.microsoft.com/office/drawing/2014/chart" uri="{C3380CC4-5D6E-409C-BE32-E72D297353CC}">
              <c16:uniqueId val="{00000002-0173-4EDF-B87C-62576E6FC2CC}"/>
            </c:ext>
          </c:extLst>
        </c:ser>
        <c:ser>
          <c:idx val="2"/>
          <c:order val="3"/>
          <c:tx>
            <c:strRef>
              <c:f>PIVOTTABLES!$E$46:$E$47</c:f>
              <c:strCache>
                <c:ptCount val="1"/>
                <c:pt idx="0">
                  <c:v>Furniture</c:v>
                </c:pt>
              </c:strCache>
            </c:strRef>
          </c:tx>
          <c:spPr>
            <a:gradFill rotWithShape="1">
              <a:gsLst>
                <a:gs pos="0">
                  <a:schemeClr val="accent3">
                    <a:tint val="98000"/>
                    <a:lumMod val="110000"/>
                  </a:schemeClr>
                </a:gs>
                <a:gs pos="84000">
                  <a:schemeClr val="accent3">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PIVOTTABLES!$A$48:$A$53</c:f>
              <c:strCache>
                <c:ptCount val="5"/>
                <c:pt idx="0">
                  <c:v>0</c:v>
                </c:pt>
                <c:pt idx="1">
                  <c:v>0.05</c:v>
                </c:pt>
                <c:pt idx="2">
                  <c:v>0.1</c:v>
                </c:pt>
                <c:pt idx="3">
                  <c:v>0.15</c:v>
                </c:pt>
                <c:pt idx="4">
                  <c:v>0.2</c:v>
                </c:pt>
              </c:strCache>
            </c:strRef>
          </c:cat>
          <c:val>
            <c:numRef>
              <c:f>PIVOTTABLES!$E$48:$E$53</c:f>
              <c:numCache>
                <c:formatCode>0.00</c:formatCode>
                <c:ptCount val="5"/>
                <c:pt idx="0">
                  <c:v>2687.34</c:v>
                </c:pt>
                <c:pt idx="1">
                  <c:v>2601.87</c:v>
                </c:pt>
                <c:pt idx="2">
                  <c:v>2120.09</c:v>
                </c:pt>
                <c:pt idx="3">
                  <c:v>2442.3199999999997</c:v>
                </c:pt>
                <c:pt idx="4">
                  <c:v>1727.52</c:v>
                </c:pt>
              </c:numCache>
            </c:numRef>
          </c:val>
          <c:extLst>
            <c:ext xmlns:c16="http://schemas.microsoft.com/office/drawing/2014/chart" uri="{C3380CC4-5D6E-409C-BE32-E72D297353CC}">
              <c16:uniqueId val="{00000003-0173-4EDF-B87C-62576E6FC2CC}"/>
            </c:ext>
          </c:extLst>
        </c:ser>
        <c:ser>
          <c:idx val="3"/>
          <c:order val="4"/>
          <c:tx>
            <c:strRef>
              <c:f>PIVOTTABLES!$F$46:$F$47</c:f>
              <c:strCache>
                <c:ptCount val="1"/>
                <c:pt idx="0">
                  <c:v>Office Supplies</c:v>
                </c:pt>
              </c:strCache>
            </c:strRef>
          </c:tx>
          <c:spPr>
            <a:gradFill rotWithShape="1">
              <a:gsLst>
                <a:gs pos="0">
                  <a:schemeClr val="accent4">
                    <a:tint val="98000"/>
                    <a:lumMod val="110000"/>
                  </a:schemeClr>
                </a:gs>
                <a:gs pos="84000">
                  <a:schemeClr val="accent4">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PIVOTTABLES!$A$48:$A$53</c:f>
              <c:strCache>
                <c:ptCount val="5"/>
                <c:pt idx="0">
                  <c:v>0</c:v>
                </c:pt>
                <c:pt idx="1">
                  <c:v>0.05</c:v>
                </c:pt>
                <c:pt idx="2">
                  <c:v>0.1</c:v>
                </c:pt>
                <c:pt idx="3">
                  <c:v>0.15</c:v>
                </c:pt>
                <c:pt idx="4">
                  <c:v>0.2</c:v>
                </c:pt>
              </c:strCache>
            </c:strRef>
          </c:cat>
          <c:val>
            <c:numRef>
              <c:f>PIVOTTABLES!$F$48:$F$53</c:f>
              <c:numCache>
                <c:formatCode>0.00</c:formatCode>
                <c:ptCount val="5"/>
                <c:pt idx="0">
                  <c:v>3403.82</c:v>
                </c:pt>
                <c:pt idx="1">
                  <c:v>3032.93</c:v>
                </c:pt>
                <c:pt idx="2">
                  <c:v>2583.94</c:v>
                </c:pt>
                <c:pt idx="3">
                  <c:v>1457.9199999999998</c:v>
                </c:pt>
                <c:pt idx="4">
                  <c:v>1360.9899999999998</c:v>
                </c:pt>
              </c:numCache>
            </c:numRef>
          </c:val>
          <c:extLst>
            <c:ext xmlns:c16="http://schemas.microsoft.com/office/drawing/2014/chart" uri="{C3380CC4-5D6E-409C-BE32-E72D297353CC}">
              <c16:uniqueId val="{00000004-0173-4EDF-B87C-62576E6FC2CC}"/>
            </c:ext>
          </c:extLst>
        </c:ser>
        <c:dLbls>
          <c:dLblPos val="outEnd"/>
          <c:showLegendKey val="0"/>
          <c:showVal val="1"/>
          <c:showCatName val="0"/>
          <c:showSerName val="0"/>
          <c:showPercent val="0"/>
          <c:showBubbleSize val="0"/>
        </c:dLbls>
        <c:gapWidth val="130"/>
        <c:overlap val="-80"/>
        <c:axId val="203588703"/>
        <c:axId val="203589183"/>
      </c:barChart>
      <c:catAx>
        <c:axId val="2035887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89183"/>
        <c:crosses val="autoZero"/>
        <c:auto val="1"/>
        <c:lblAlgn val="ctr"/>
        <c:lblOffset val="100"/>
        <c:noMultiLvlLbl val="0"/>
      </c:catAx>
      <c:valAx>
        <c:axId val="203589183"/>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8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(Recovered).xlsx]PIVOTTABLES!PivotTable17</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Purchase</a:t>
            </a:r>
            <a:r>
              <a:rPr lang="en-US" baseline="0"/>
              <a:t> Ratio Vs </a:t>
            </a:r>
            <a:r>
              <a:rPr lang="en-US"/>
              <a:t>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1"/>
          <c:showVal val="1"/>
          <c:showCatName val="1"/>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7"/>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8"/>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
        <c:idx val="19"/>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pivotFmt>
    </c:pivotFmts>
    <c:plotArea>
      <c:layout/>
      <c:pieChart>
        <c:varyColors val="1"/>
        <c:ser>
          <c:idx val="2"/>
          <c:order val="0"/>
          <c:tx>
            <c:strRef>
              <c:f>PIVOTTABLES!$J$38</c:f>
              <c:strCache>
                <c:ptCount val="1"/>
                <c:pt idx="0">
                  <c:v>Average of Profit</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1-38B7-41C5-81E2-06C03064E39B}"/>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3-38B7-41C5-81E2-06C03064E39B}"/>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1"/>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PIVOTTABLES!$I$39:$I$41</c:f>
              <c:strCache>
                <c:ptCount val="2"/>
                <c:pt idx="0">
                  <c:v>High purchase</c:v>
                </c:pt>
                <c:pt idx="1">
                  <c:v>Normal purchase</c:v>
                </c:pt>
              </c:strCache>
            </c:strRef>
          </c:cat>
          <c:val>
            <c:numRef>
              <c:f>PIVOTTABLES!$J$39:$J$41</c:f>
              <c:numCache>
                <c:formatCode>0.00</c:formatCode>
                <c:ptCount val="2"/>
                <c:pt idx="0">
                  <c:v>427.36468085106367</c:v>
                </c:pt>
                <c:pt idx="1">
                  <c:v>265.2333018867925</c:v>
                </c:pt>
              </c:numCache>
            </c:numRef>
          </c:val>
          <c:extLst>
            <c:ext xmlns:c16="http://schemas.microsoft.com/office/drawing/2014/chart" uri="{C3380CC4-5D6E-409C-BE32-E72D297353CC}">
              <c16:uniqueId val="{00000016-AE76-460B-B1CE-CE78A2DC13FC}"/>
            </c:ext>
          </c:extLst>
        </c:ser>
        <c:ser>
          <c:idx val="3"/>
          <c:order val="1"/>
          <c:tx>
            <c:strRef>
              <c:f>PIVOTTABLES!$K$38</c:f>
              <c:strCache>
                <c:ptCount val="1"/>
                <c:pt idx="0">
                  <c:v>Sum of Sales</c:v>
                </c:pt>
              </c:strCache>
            </c:strRef>
          </c:tx>
          <c:dPt>
            <c:idx val="0"/>
            <c:bubble3D val="0"/>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5-38B7-41C5-81E2-06C03064E39B}"/>
              </c:ext>
            </c:extLst>
          </c:dPt>
          <c:dPt>
            <c:idx val="1"/>
            <c:bubble3D val="0"/>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extLst>
              <c:ext xmlns:c16="http://schemas.microsoft.com/office/drawing/2014/chart" uri="{C3380CC4-5D6E-409C-BE32-E72D297353CC}">
                <c16:uniqueId val="{00000007-38B7-41C5-81E2-06C03064E39B}"/>
              </c:ext>
            </c:extLst>
          </c:dPt>
          <c:cat>
            <c:strRef>
              <c:f>PIVOTTABLES!$I$39:$I$41</c:f>
              <c:strCache>
                <c:ptCount val="2"/>
                <c:pt idx="0">
                  <c:v>High purchase</c:v>
                </c:pt>
                <c:pt idx="1">
                  <c:v>Normal purchase</c:v>
                </c:pt>
              </c:strCache>
            </c:strRef>
          </c:cat>
          <c:val>
            <c:numRef>
              <c:f>PIVOTTABLES!$K$39:$K$41</c:f>
              <c:numCache>
                <c:formatCode>0.00</c:formatCode>
                <c:ptCount val="2"/>
                <c:pt idx="0">
                  <c:v>115601.26999999999</c:v>
                </c:pt>
                <c:pt idx="1">
                  <c:v>79616.490000000034</c:v>
                </c:pt>
              </c:numCache>
            </c:numRef>
          </c:val>
          <c:extLst>
            <c:ext xmlns:c16="http://schemas.microsoft.com/office/drawing/2014/chart" uri="{C3380CC4-5D6E-409C-BE32-E72D297353CC}">
              <c16:uniqueId val="{00000017-AE76-460B-B1CE-CE78A2DC13F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(Recovered).xlsx]PIVOTTABLES!PivotTable19</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strRef>
              <c:f>PIVOTTABLES!$J$58</c:f>
              <c:strCache>
                <c:ptCount val="1"/>
                <c:pt idx="0">
                  <c:v>Total</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PIVOTTABLES!$I$59:$I$64</c:f>
              <c:strCache>
                <c:ptCount val="5"/>
                <c:pt idx="0">
                  <c:v>Books</c:v>
                </c:pt>
                <c:pt idx="1">
                  <c:v>Clothing</c:v>
                </c:pt>
                <c:pt idx="2">
                  <c:v>Electronics</c:v>
                </c:pt>
                <c:pt idx="3">
                  <c:v>Furniture</c:v>
                </c:pt>
                <c:pt idx="4">
                  <c:v>Office Supplies</c:v>
                </c:pt>
              </c:strCache>
            </c:strRef>
          </c:cat>
          <c:val>
            <c:numRef>
              <c:f>PIVOTTABLES!$J$59:$J$64</c:f>
              <c:numCache>
                <c:formatCode>0.00%</c:formatCode>
                <c:ptCount val="5"/>
                <c:pt idx="0">
                  <c:v>0.3583677046632085</c:v>
                </c:pt>
                <c:pt idx="1">
                  <c:v>0.4506095175242199</c:v>
                </c:pt>
                <c:pt idx="2">
                  <c:v>0.22500102196023627</c:v>
                </c:pt>
                <c:pt idx="3">
                  <c:v>0.31597260094800306</c:v>
                </c:pt>
                <c:pt idx="4">
                  <c:v>0.41370968481086762</c:v>
                </c:pt>
              </c:numCache>
            </c:numRef>
          </c:val>
          <c:extLst>
            <c:ext xmlns:c16="http://schemas.microsoft.com/office/drawing/2014/chart" uri="{C3380CC4-5D6E-409C-BE32-E72D297353CC}">
              <c16:uniqueId val="{00000003-826C-4F21-9917-5F497A10B58D}"/>
            </c:ext>
          </c:extLst>
        </c:ser>
        <c:dLbls>
          <c:dLblPos val="outEnd"/>
          <c:showLegendKey val="0"/>
          <c:showVal val="1"/>
          <c:showCatName val="0"/>
          <c:showSerName val="0"/>
          <c:showPercent val="0"/>
          <c:showBubbleSize val="0"/>
        </c:dLbls>
        <c:gapWidth val="100"/>
        <c:overlap val="-24"/>
        <c:axId val="155582368"/>
        <c:axId val="155583328"/>
      </c:barChart>
      <c:catAx>
        <c:axId val="1555823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83328"/>
        <c:crosses val="autoZero"/>
        <c:auto val="1"/>
        <c:lblAlgn val="ctr"/>
        <c:lblOffset val="100"/>
        <c:noMultiLvlLbl val="0"/>
      </c:catAx>
      <c:valAx>
        <c:axId val="155583328"/>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8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Correlation Between Sales &amp;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tx>
            <c:strRef>
              <c:f>SALESDATA!$I$1</c:f>
              <c:strCache>
                <c:ptCount val="1"/>
                <c:pt idx="0">
                  <c:v>Profit</c:v>
                </c:pt>
              </c:strCache>
            </c:strRef>
          </c:tx>
          <c:spPr>
            <a:ln w="25400" cap="rnd">
              <a:noFill/>
              <a:round/>
            </a:ln>
            <a:effectLst>
              <a:outerShdw blurRad="88900" dist="38100" dir="5040000" rotWithShape="0">
                <a:srgbClr val="000000">
                  <a:alpha val="60000"/>
                </a:srgbClr>
              </a:outerShdw>
            </a:effectLst>
          </c:spPr>
          <c:marker>
            <c:symbol val="circle"/>
            <c:size val="6"/>
            <c:spPr>
              <a:gradFill rotWithShape="1">
                <a:gsLst>
                  <a:gs pos="0">
                    <a:schemeClr val="accent1">
                      <a:tint val="98000"/>
                      <a:lumMod val="110000"/>
                    </a:schemeClr>
                  </a:gs>
                  <a:gs pos="84000">
                    <a:schemeClr val="accent1">
                      <a:shade val="90000"/>
                      <a:lumMod val="88000"/>
                    </a:schemeClr>
                  </a:gs>
                </a:gsLst>
                <a:lin ang="5400000" scaled="0"/>
              </a:gradFill>
              <a:ln w="9525" cap="rnd">
                <a:solidFill>
                  <a:schemeClr val="accent1"/>
                </a:solidFill>
                <a:round/>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marker>
          <c:trendline>
            <c:spPr>
              <a:ln w="19050" cap="rnd">
                <a:solidFill>
                  <a:schemeClr val="accent1"/>
                </a:solidFill>
                <a:prstDash val="sysDash"/>
              </a:ln>
              <a:effectLst/>
            </c:spPr>
            <c:trendlineType val="linear"/>
            <c:dispRSqr val="0"/>
            <c:dispEq val="0"/>
          </c:trendline>
          <c:xVal>
            <c:numRef>
              <c:f>SALESDATA!$E$2:$E$201</c:f>
              <c:numCache>
                <c:formatCode>0.00</c:formatCode>
                <c:ptCount val="200"/>
                <c:pt idx="0">
                  <c:v>1036.0899999999999</c:v>
                </c:pt>
                <c:pt idx="1">
                  <c:v>1101.28</c:v>
                </c:pt>
                <c:pt idx="2">
                  <c:v>713.34</c:v>
                </c:pt>
                <c:pt idx="3">
                  <c:v>760.93</c:v>
                </c:pt>
                <c:pt idx="4">
                  <c:v>847</c:v>
                </c:pt>
                <c:pt idx="5">
                  <c:v>965.64</c:v>
                </c:pt>
                <c:pt idx="6">
                  <c:v>1317.53</c:v>
                </c:pt>
                <c:pt idx="7">
                  <c:v>1074.47</c:v>
                </c:pt>
                <c:pt idx="8">
                  <c:v>501.54</c:v>
                </c:pt>
                <c:pt idx="9">
                  <c:v>737.31</c:v>
                </c:pt>
                <c:pt idx="10">
                  <c:v>1572.82</c:v>
                </c:pt>
                <c:pt idx="11">
                  <c:v>1343.13</c:v>
                </c:pt>
                <c:pt idx="12">
                  <c:v>1191.58</c:v>
                </c:pt>
                <c:pt idx="13">
                  <c:v>822.28</c:v>
                </c:pt>
                <c:pt idx="14">
                  <c:v>521.66999999999996</c:v>
                </c:pt>
                <c:pt idx="15">
                  <c:v>1502.93</c:v>
                </c:pt>
                <c:pt idx="16">
                  <c:v>877.58</c:v>
                </c:pt>
                <c:pt idx="17">
                  <c:v>636.70000000000005</c:v>
                </c:pt>
                <c:pt idx="18">
                  <c:v>1506.14</c:v>
                </c:pt>
                <c:pt idx="19">
                  <c:v>645.02</c:v>
                </c:pt>
                <c:pt idx="20">
                  <c:v>953.3</c:v>
                </c:pt>
                <c:pt idx="21">
                  <c:v>388.56</c:v>
                </c:pt>
                <c:pt idx="22">
                  <c:v>743.17</c:v>
                </c:pt>
                <c:pt idx="23">
                  <c:v>706.37</c:v>
                </c:pt>
                <c:pt idx="24">
                  <c:v>925.31</c:v>
                </c:pt>
                <c:pt idx="25">
                  <c:v>1173.1199999999999</c:v>
                </c:pt>
                <c:pt idx="26">
                  <c:v>675.54</c:v>
                </c:pt>
                <c:pt idx="27">
                  <c:v>939.09</c:v>
                </c:pt>
                <c:pt idx="28">
                  <c:v>983.34</c:v>
                </c:pt>
                <c:pt idx="29">
                  <c:v>801.21</c:v>
                </c:pt>
                <c:pt idx="30">
                  <c:v>1450.71</c:v>
                </c:pt>
                <c:pt idx="31">
                  <c:v>1023.21</c:v>
                </c:pt>
                <c:pt idx="32">
                  <c:v>853.72</c:v>
                </c:pt>
                <c:pt idx="33">
                  <c:v>967.89</c:v>
                </c:pt>
                <c:pt idx="34">
                  <c:v>1200.9000000000001</c:v>
                </c:pt>
                <c:pt idx="35">
                  <c:v>472.38</c:v>
                </c:pt>
                <c:pt idx="36">
                  <c:v>840.92</c:v>
                </c:pt>
                <c:pt idx="37">
                  <c:v>1410.06</c:v>
                </c:pt>
                <c:pt idx="38">
                  <c:v>773.09</c:v>
                </c:pt>
                <c:pt idx="39">
                  <c:v>580.42999999999995</c:v>
                </c:pt>
                <c:pt idx="40">
                  <c:v>1151.21</c:v>
                </c:pt>
                <c:pt idx="41">
                  <c:v>1025.98</c:v>
                </c:pt>
                <c:pt idx="42">
                  <c:v>556.41999999999996</c:v>
                </c:pt>
                <c:pt idx="43">
                  <c:v>840.85</c:v>
                </c:pt>
                <c:pt idx="44">
                  <c:v>1227.25</c:v>
                </c:pt>
                <c:pt idx="45">
                  <c:v>856.7</c:v>
                </c:pt>
                <c:pt idx="46">
                  <c:v>1225.42</c:v>
                </c:pt>
                <c:pt idx="47">
                  <c:v>1001.57</c:v>
                </c:pt>
                <c:pt idx="48">
                  <c:v>1186.8499999999999</c:v>
                </c:pt>
                <c:pt idx="49">
                  <c:v>775.45</c:v>
                </c:pt>
                <c:pt idx="50">
                  <c:v>1021.47</c:v>
                </c:pt>
                <c:pt idx="51">
                  <c:v>1226.6199999999999</c:v>
                </c:pt>
                <c:pt idx="52">
                  <c:v>1086.93</c:v>
                </c:pt>
                <c:pt idx="53">
                  <c:v>942.9</c:v>
                </c:pt>
                <c:pt idx="54">
                  <c:v>818.8</c:v>
                </c:pt>
                <c:pt idx="55">
                  <c:v>919.04</c:v>
                </c:pt>
                <c:pt idx="56">
                  <c:v>973.26</c:v>
                </c:pt>
                <c:pt idx="57">
                  <c:v>741.61</c:v>
                </c:pt>
                <c:pt idx="58">
                  <c:v>1248.82</c:v>
                </c:pt>
                <c:pt idx="59">
                  <c:v>1360.36</c:v>
                </c:pt>
                <c:pt idx="60">
                  <c:v>1383.3</c:v>
                </c:pt>
                <c:pt idx="61">
                  <c:v>488.99</c:v>
                </c:pt>
                <c:pt idx="62">
                  <c:v>933.71</c:v>
                </c:pt>
                <c:pt idx="63">
                  <c:v>1005.53</c:v>
                </c:pt>
                <c:pt idx="64">
                  <c:v>1100.0999999999999</c:v>
                </c:pt>
                <c:pt idx="65">
                  <c:v>1034.7</c:v>
                </c:pt>
                <c:pt idx="66">
                  <c:v>876.44</c:v>
                </c:pt>
                <c:pt idx="67">
                  <c:v>1371.34</c:v>
                </c:pt>
                <c:pt idx="68">
                  <c:v>1020.26</c:v>
                </c:pt>
                <c:pt idx="69">
                  <c:v>804.81</c:v>
                </c:pt>
                <c:pt idx="70">
                  <c:v>608.66</c:v>
                </c:pt>
                <c:pt idx="71">
                  <c:v>981.2</c:v>
                </c:pt>
                <c:pt idx="72">
                  <c:v>539.77</c:v>
                </c:pt>
                <c:pt idx="73">
                  <c:v>804.45</c:v>
                </c:pt>
                <c:pt idx="74">
                  <c:v>1526.6</c:v>
                </c:pt>
                <c:pt idx="75">
                  <c:v>1215.26</c:v>
                </c:pt>
                <c:pt idx="76">
                  <c:v>1261.3399999999999</c:v>
                </c:pt>
                <c:pt idx="77">
                  <c:v>518.07000000000005</c:v>
                </c:pt>
                <c:pt idx="78">
                  <c:v>1111.3399999999999</c:v>
                </c:pt>
                <c:pt idx="79">
                  <c:v>1291.47</c:v>
                </c:pt>
                <c:pt idx="80">
                  <c:v>679.71</c:v>
                </c:pt>
                <c:pt idx="81">
                  <c:v>1143.69</c:v>
                </c:pt>
                <c:pt idx="82">
                  <c:v>790.08</c:v>
                </c:pt>
                <c:pt idx="83">
                  <c:v>1070.68</c:v>
                </c:pt>
                <c:pt idx="84">
                  <c:v>1168.8900000000001</c:v>
                </c:pt>
                <c:pt idx="85">
                  <c:v>1335.87</c:v>
                </c:pt>
                <c:pt idx="86">
                  <c:v>873.7</c:v>
                </c:pt>
                <c:pt idx="87">
                  <c:v>1443.98</c:v>
                </c:pt>
                <c:pt idx="88">
                  <c:v>1154.33</c:v>
                </c:pt>
                <c:pt idx="89">
                  <c:v>1264.49</c:v>
                </c:pt>
                <c:pt idx="90">
                  <c:v>1101.55</c:v>
                </c:pt>
                <c:pt idx="91">
                  <c:v>727.73</c:v>
                </c:pt>
                <c:pt idx="92">
                  <c:v>875.41</c:v>
                </c:pt>
                <c:pt idx="93">
                  <c:v>1158.94</c:v>
                </c:pt>
                <c:pt idx="94">
                  <c:v>966.3</c:v>
                </c:pt>
                <c:pt idx="95">
                  <c:v>917.48</c:v>
                </c:pt>
                <c:pt idx="96">
                  <c:v>1172.97</c:v>
                </c:pt>
                <c:pt idx="97">
                  <c:v>1205.82</c:v>
                </c:pt>
                <c:pt idx="98">
                  <c:v>826.93</c:v>
                </c:pt>
                <c:pt idx="99">
                  <c:v>902.19</c:v>
                </c:pt>
                <c:pt idx="100">
                  <c:v>585.97</c:v>
                </c:pt>
                <c:pt idx="101">
                  <c:v>990.19</c:v>
                </c:pt>
                <c:pt idx="102">
                  <c:v>1014.09</c:v>
                </c:pt>
                <c:pt idx="103">
                  <c:v>925.29</c:v>
                </c:pt>
                <c:pt idx="104">
                  <c:v>1286.54</c:v>
                </c:pt>
                <c:pt idx="105">
                  <c:v>961.62</c:v>
                </c:pt>
                <c:pt idx="106">
                  <c:v>1081.1400000000001</c:v>
                </c:pt>
                <c:pt idx="107">
                  <c:v>1923.66</c:v>
                </c:pt>
                <c:pt idx="108">
                  <c:v>728.71</c:v>
                </c:pt>
                <c:pt idx="109">
                  <c:v>1301.8900000000001</c:v>
                </c:pt>
                <c:pt idx="110">
                  <c:v>980.18</c:v>
                </c:pt>
                <c:pt idx="111">
                  <c:v>697.57</c:v>
                </c:pt>
                <c:pt idx="112">
                  <c:v>1193.6099999999999</c:v>
                </c:pt>
                <c:pt idx="113">
                  <c:v>771.02</c:v>
                </c:pt>
                <c:pt idx="114">
                  <c:v>661.09</c:v>
                </c:pt>
                <c:pt idx="115">
                  <c:v>688.83</c:v>
                </c:pt>
                <c:pt idx="116">
                  <c:v>1249.0999999999999</c:v>
                </c:pt>
                <c:pt idx="117">
                  <c:v>1014.22</c:v>
                </c:pt>
                <c:pt idx="118">
                  <c:v>1010.58</c:v>
                </c:pt>
                <c:pt idx="119">
                  <c:v>957.29</c:v>
                </c:pt>
                <c:pt idx="120">
                  <c:v>1077.92</c:v>
                </c:pt>
                <c:pt idx="121">
                  <c:v>1163.01</c:v>
                </c:pt>
                <c:pt idx="122">
                  <c:v>1014.56</c:v>
                </c:pt>
                <c:pt idx="123">
                  <c:v>718.04</c:v>
                </c:pt>
                <c:pt idx="124">
                  <c:v>1277.8499999999999</c:v>
                </c:pt>
                <c:pt idx="125">
                  <c:v>706.73</c:v>
                </c:pt>
                <c:pt idx="126">
                  <c:v>1410.59</c:v>
                </c:pt>
                <c:pt idx="127">
                  <c:v>1350.33</c:v>
                </c:pt>
                <c:pt idx="128">
                  <c:v>919.18</c:v>
                </c:pt>
                <c:pt idx="129">
                  <c:v>258.51</c:v>
                </c:pt>
                <c:pt idx="130">
                  <c:v>1213.48</c:v>
                </c:pt>
                <c:pt idx="131">
                  <c:v>1150.28</c:v>
                </c:pt>
                <c:pt idx="132">
                  <c:v>853.86</c:v>
                </c:pt>
                <c:pt idx="133">
                  <c:v>1061.04</c:v>
                </c:pt>
                <c:pt idx="134">
                  <c:v>894.55</c:v>
                </c:pt>
                <c:pt idx="135">
                  <c:v>833.91</c:v>
                </c:pt>
                <c:pt idx="136">
                  <c:v>820.19</c:v>
                </c:pt>
                <c:pt idx="137">
                  <c:v>511.74</c:v>
                </c:pt>
                <c:pt idx="138">
                  <c:v>806.03</c:v>
                </c:pt>
                <c:pt idx="139">
                  <c:v>1432.47</c:v>
                </c:pt>
                <c:pt idx="140">
                  <c:v>1488.58</c:v>
                </c:pt>
                <c:pt idx="141">
                  <c:v>1231.26</c:v>
                </c:pt>
                <c:pt idx="142">
                  <c:v>1161.67</c:v>
                </c:pt>
                <c:pt idx="143">
                  <c:v>388.23</c:v>
                </c:pt>
                <c:pt idx="144">
                  <c:v>1589.42</c:v>
                </c:pt>
                <c:pt idx="145">
                  <c:v>336.66</c:v>
                </c:pt>
                <c:pt idx="146">
                  <c:v>1353.79</c:v>
                </c:pt>
                <c:pt idx="147">
                  <c:v>662.61</c:v>
                </c:pt>
                <c:pt idx="148">
                  <c:v>309.42</c:v>
                </c:pt>
                <c:pt idx="149">
                  <c:v>884.63</c:v>
                </c:pt>
                <c:pt idx="150">
                  <c:v>745.05</c:v>
                </c:pt>
                <c:pt idx="151">
                  <c:v>870.23</c:v>
                </c:pt>
                <c:pt idx="152">
                  <c:v>862.19</c:v>
                </c:pt>
                <c:pt idx="153">
                  <c:v>1171.18</c:v>
                </c:pt>
                <c:pt idx="154">
                  <c:v>1054.56</c:v>
                </c:pt>
                <c:pt idx="155">
                  <c:v>1681.21</c:v>
                </c:pt>
                <c:pt idx="156">
                  <c:v>379.77</c:v>
                </c:pt>
                <c:pt idx="157">
                  <c:v>1076.33</c:v>
                </c:pt>
                <c:pt idx="158">
                  <c:v>1250.71</c:v>
                </c:pt>
                <c:pt idx="159">
                  <c:v>1118.3399999999999</c:v>
                </c:pt>
                <c:pt idx="160">
                  <c:v>1622.62</c:v>
                </c:pt>
                <c:pt idx="161">
                  <c:v>640.64</c:v>
                </c:pt>
                <c:pt idx="162">
                  <c:v>585.16</c:v>
                </c:pt>
                <c:pt idx="163">
                  <c:v>1109.98</c:v>
                </c:pt>
                <c:pt idx="164">
                  <c:v>1098.08</c:v>
                </c:pt>
                <c:pt idx="165">
                  <c:v>827.25</c:v>
                </c:pt>
                <c:pt idx="166">
                  <c:v>741.88</c:v>
                </c:pt>
                <c:pt idx="167">
                  <c:v>1311.26</c:v>
                </c:pt>
                <c:pt idx="168">
                  <c:v>573.32000000000005</c:v>
                </c:pt>
                <c:pt idx="169">
                  <c:v>1115.22</c:v>
                </c:pt>
                <c:pt idx="170">
                  <c:v>845.84</c:v>
                </c:pt>
                <c:pt idx="171">
                  <c:v>1029.8</c:v>
                </c:pt>
                <c:pt idx="172">
                  <c:v>1189.83</c:v>
                </c:pt>
                <c:pt idx="173">
                  <c:v>704.28</c:v>
                </c:pt>
                <c:pt idx="174">
                  <c:v>1618.22</c:v>
                </c:pt>
                <c:pt idx="175">
                  <c:v>1014.43</c:v>
                </c:pt>
                <c:pt idx="176">
                  <c:v>826.97</c:v>
                </c:pt>
                <c:pt idx="177">
                  <c:v>1022.23</c:v>
                </c:pt>
                <c:pt idx="178">
                  <c:v>1099.69</c:v>
                </c:pt>
                <c:pt idx="179">
                  <c:v>710.52</c:v>
                </c:pt>
                <c:pt idx="180">
                  <c:v>499.18</c:v>
                </c:pt>
                <c:pt idx="181">
                  <c:v>1064.19</c:v>
                </c:pt>
                <c:pt idx="182">
                  <c:v>438.76</c:v>
                </c:pt>
                <c:pt idx="183">
                  <c:v>864.98</c:v>
                </c:pt>
                <c:pt idx="184">
                  <c:v>984.93</c:v>
                </c:pt>
                <c:pt idx="185">
                  <c:v>1493.49</c:v>
                </c:pt>
                <c:pt idx="186">
                  <c:v>689.43</c:v>
                </c:pt>
                <c:pt idx="187">
                  <c:v>682.24</c:v>
                </c:pt>
                <c:pt idx="188">
                  <c:v>458.54</c:v>
                </c:pt>
                <c:pt idx="189">
                  <c:v>1184.25</c:v>
                </c:pt>
                <c:pt idx="190">
                  <c:v>762.14</c:v>
                </c:pt>
                <c:pt idx="191">
                  <c:v>750.71</c:v>
                </c:pt>
                <c:pt idx="192">
                  <c:v>1456.94</c:v>
                </c:pt>
                <c:pt idx="193">
                  <c:v>1093.3800000000001</c:v>
                </c:pt>
                <c:pt idx="194">
                  <c:v>934.27</c:v>
                </c:pt>
                <c:pt idx="195">
                  <c:v>1465.35</c:v>
                </c:pt>
                <c:pt idx="196">
                  <c:v>740.8</c:v>
                </c:pt>
                <c:pt idx="197">
                  <c:v>545.44000000000005</c:v>
                </c:pt>
                <c:pt idx="198">
                  <c:v>997.61</c:v>
                </c:pt>
                <c:pt idx="199">
                  <c:v>928.32</c:v>
                </c:pt>
              </c:numCache>
            </c:numRef>
          </c:xVal>
          <c:yVal>
            <c:numRef>
              <c:f>SALESDATA!$I$2:$I$201</c:f>
              <c:numCache>
                <c:formatCode>0.00</c:formatCode>
                <c:ptCount val="200"/>
                <c:pt idx="0">
                  <c:v>331.55</c:v>
                </c:pt>
                <c:pt idx="1">
                  <c:v>440.51</c:v>
                </c:pt>
                <c:pt idx="2">
                  <c:v>285.33999999999997</c:v>
                </c:pt>
                <c:pt idx="3">
                  <c:v>161.69999999999999</c:v>
                </c:pt>
                <c:pt idx="4">
                  <c:v>271.04000000000002</c:v>
                </c:pt>
                <c:pt idx="5">
                  <c:v>304.18</c:v>
                </c:pt>
                <c:pt idx="6">
                  <c:v>312.91000000000003</c:v>
                </c:pt>
                <c:pt idx="7">
                  <c:v>300.85000000000002</c:v>
                </c:pt>
                <c:pt idx="8">
                  <c:v>190.59</c:v>
                </c:pt>
                <c:pt idx="9">
                  <c:v>350.22</c:v>
                </c:pt>
                <c:pt idx="10">
                  <c:v>672.38</c:v>
                </c:pt>
                <c:pt idx="11">
                  <c:v>456.66</c:v>
                </c:pt>
                <c:pt idx="12">
                  <c:v>452.8</c:v>
                </c:pt>
                <c:pt idx="13">
                  <c:v>273.41000000000003</c:v>
                </c:pt>
                <c:pt idx="14">
                  <c:v>155.19999999999999</c:v>
                </c:pt>
                <c:pt idx="15">
                  <c:v>300.58999999999997</c:v>
                </c:pt>
                <c:pt idx="16">
                  <c:v>298.38</c:v>
                </c:pt>
                <c:pt idx="17">
                  <c:v>203.74</c:v>
                </c:pt>
                <c:pt idx="18">
                  <c:v>481.96</c:v>
                </c:pt>
                <c:pt idx="19">
                  <c:v>161.26</c:v>
                </c:pt>
                <c:pt idx="20">
                  <c:v>476.65</c:v>
                </c:pt>
                <c:pt idx="21">
                  <c:v>82.57</c:v>
                </c:pt>
                <c:pt idx="22">
                  <c:v>297.27</c:v>
                </c:pt>
                <c:pt idx="23">
                  <c:v>176.59</c:v>
                </c:pt>
                <c:pt idx="24">
                  <c:v>374.75</c:v>
                </c:pt>
                <c:pt idx="25">
                  <c:v>293.27999999999997</c:v>
                </c:pt>
                <c:pt idx="26">
                  <c:v>236.44</c:v>
                </c:pt>
                <c:pt idx="27">
                  <c:v>356.85</c:v>
                </c:pt>
                <c:pt idx="28">
                  <c:v>398.25</c:v>
                </c:pt>
                <c:pt idx="29">
                  <c:v>160.24</c:v>
                </c:pt>
                <c:pt idx="30">
                  <c:v>326.41000000000003</c:v>
                </c:pt>
                <c:pt idx="31">
                  <c:v>388.82</c:v>
                </c:pt>
                <c:pt idx="32">
                  <c:v>253.98</c:v>
                </c:pt>
                <c:pt idx="33">
                  <c:v>217.78</c:v>
                </c:pt>
                <c:pt idx="34">
                  <c:v>513.38</c:v>
                </c:pt>
                <c:pt idx="35">
                  <c:v>151.16</c:v>
                </c:pt>
                <c:pt idx="36">
                  <c:v>359.49</c:v>
                </c:pt>
                <c:pt idx="37">
                  <c:v>468.84</c:v>
                </c:pt>
                <c:pt idx="38">
                  <c:v>229.99</c:v>
                </c:pt>
                <c:pt idx="39">
                  <c:v>197.35</c:v>
                </c:pt>
                <c:pt idx="40">
                  <c:v>414.44</c:v>
                </c:pt>
                <c:pt idx="41">
                  <c:v>369.35</c:v>
                </c:pt>
                <c:pt idx="42">
                  <c:v>212.83</c:v>
                </c:pt>
                <c:pt idx="43">
                  <c:v>302.70999999999998</c:v>
                </c:pt>
                <c:pt idx="44">
                  <c:v>365.11</c:v>
                </c:pt>
                <c:pt idx="45">
                  <c:v>214.18</c:v>
                </c:pt>
                <c:pt idx="46">
                  <c:v>468.72</c:v>
                </c:pt>
                <c:pt idx="47">
                  <c:v>450.71</c:v>
                </c:pt>
                <c:pt idx="48">
                  <c:v>332.32</c:v>
                </c:pt>
                <c:pt idx="49">
                  <c:v>174.48</c:v>
                </c:pt>
                <c:pt idx="50">
                  <c:v>242.6</c:v>
                </c:pt>
                <c:pt idx="51">
                  <c:v>551.98</c:v>
                </c:pt>
                <c:pt idx="52">
                  <c:v>380.43</c:v>
                </c:pt>
                <c:pt idx="53">
                  <c:v>339.44</c:v>
                </c:pt>
                <c:pt idx="54">
                  <c:v>173.99</c:v>
                </c:pt>
                <c:pt idx="55">
                  <c:v>257.33</c:v>
                </c:pt>
                <c:pt idx="56">
                  <c:v>389.3</c:v>
                </c:pt>
                <c:pt idx="57">
                  <c:v>148.32</c:v>
                </c:pt>
                <c:pt idx="58">
                  <c:v>449.58</c:v>
                </c:pt>
                <c:pt idx="59">
                  <c:v>680.18</c:v>
                </c:pt>
                <c:pt idx="60">
                  <c:v>497.99</c:v>
                </c:pt>
                <c:pt idx="61">
                  <c:v>220.05</c:v>
                </c:pt>
                <c:pt idx="62">
                  <c:v>294.12</c:v>
                </c:pt>
                <c:pt idx="63">
                  <c:v>201.11</c:v>
                </c:pt>
                <c:pt idx="64">
                  <c:v>261.27</c:v>
                </c:pt>
                <c:pt idx="65">
                  <c:v>307.82</c:v>
                </c:pt>
                <c:pt idx="66">
                  <c:v>333.05</c:v>
                </c:pt>
                <c:pt idx="67">
                  <c:v>455.97</c:v>
                </c:pt>
                <c:pt idx="68">
                  <c:v>242.31</c:v>
                </c:pt>
                <c:pt idx="69">
                  <c:v>344.06</c:v>
                </c:pt>
                <c:pt idx="70">
                  <c:v>144.56</c:v>
                </c:pt>
                <c:pt idx="71">
                  <c:v>441.54</c:v>
                </c:pt>
                <c:pt idx="72">
                  <c:v>114.7</c:v>
                </c:pt>
                <c:pt idx="73">
                  <c:v>257.42</c:v>
                </c:pt>
                <c:pt idx="74">
                  <c:v>305.32</c:v>
                </c:pt>
                <c:pt idx="75">
                  <c:v>258.24</c:v>
                </c:pt>
                <c:pt idx="76">
                  <c:v>441.47</c:v>
                </c:pt>
                <c:pt idx="77">
                  <c:v>172.26</c:v>
                </c:pt>
                <c:pt idx="78">
                  <c:v>500.1</c:v>
                </c:pt>
                <c:pt idx="79">
                  <c:v>581.16</c:v>
                </c:pt>
                <c:pt idx="80">
                  <c:v>271.88</c:v>
                </c:pt>
                <c:pt idx="81">
                  <c:v>400.29</c:v>
                </c:pt>
                <c:pt idx="82">
                  <c:v>177.77</c:v>
                </c:pt>
                <c:pt idx="83">
                  <c:v>406.86</c:v>
                </c:pt>
                <c:pt idx="84">
                  <c:v>526</c:v>
                </c:pt>
                <c:pt idx="85">
                  <c:v>333.97</c:v>
                </c:pt>
                <c:pt idx="86">
                  <c:v>305.8</c:v>
                </c:pt>
                <c:pt idx="87">
                  <c:v>649.79</c:v>
                </c:pt>
                <c:pt idx="88">
                  <c:v>441.53</c:v>
                </c:pt>
                <c:pt idx="89">
                  <c:v>480.51</c:v>
                </c:pt>
                <c:pt idx="90">
                  <c:v>346.99</c:v>
                </c:pt>
                <c:pt idx="91">
                  <c:v>229.23</c:v>
                </c:pt>
                <c:pt idx="92">
                  <c:v>334.84</c:v>
                </c:pt>
                <c:pt idx="93">
                  <c:v>231.79</c:v>
                </c:pt>
                <c:pt idx="94">
                  <c:v>328.54</c:v>
                </c:pt>
                <c:pt idx="95">
                  <c:v>366.99</c:v>
                </c:pt>
                <c:pt idx="96">
                  <c:v>348.96</c:v>
                </c:pt>
                <c:pt idx="97">
                  <c:v>542.62</c:v>
                </c:pt>
                <c:pt idx="98">
                  <c:v>297.69</c:v>
                </c:pt>
                <c:pt idx="99">
                  <c:v>451.1</c:v>
                </c:pt>
                <c:pt idx="100">
                  <c:v>210.95</c:v>
                </c:pt>
                <c:pt idx="101">
                  <c:v>445.59</c:v>
                </c:pt>
                <c:pt idx="102">
                  <c:v>202.82</c:v>
                </c:pt>
                <c:pt idx="103">
                  <c:v>231.32</c:v>
                </c:pt>
                <c:pt idx="104">
                  <c:v>450.29</c:v>
                </c:pt>
                <c:pt idx="105">
                  <c:v>307.72000000000003</c:v>
                </c:pt>
                <c:pt idx="106">
                  <c:v>367.59</c:v>
                </c:pt>
                <c:pt idx="107">
                  <c:v>769.46</c:v>
                </c:pt>
                <c:pt idx="108">
                  <c:v>327.92</c:v>
                </c:pt>
                <c:pt idx="109">
                  <c:v>553.29999999999995</c:v>
                </c:pt>
                <c:pt idx="110">
                  <c:v>352.86</c:v>
                </c:pt>
                <c:pt idx="111">
                  <c:v>313.91000000000003</c:v>
                </c:pt>
                <c:pt idx="112">
                  <c:v>355.1</c:v>
                </c:pt>
                <c:pt idx="113">
                  <c:v>192.76</c:v>
                </c:pt>
                <c:pt idx="114">
                  <c:v>264.44</c:v>
                </c:pt>
                <c:pt idx="115">
                  <c:v>172.21</c:v>
                </c:pt>
                <c:pt idx="116">
                  <c:v>474.66</c:v>
                </c:pt>
                <c:pt idx="117">
                  <c:v>433.58</c:v>
                </c:pt>
                <c:pt idx="118">
                  <c:v>343.6</c:v>
                </c:pt>
                <c:pt idx="119">
                  <c:v>318.3</c:v>
                </c:pt>
                <c:pt idx="120">
                  <c:v>358.41</c:v>
                </c:pt>
                <c:pt idx="121">
                  <c:v>581.5</c:v>
                </c:pt>
                <c:pt idx="122">
                  <c:v>410.9</c:v>
                </c:pt>
                <c:pt idx="123">
                  <c:v>179.51</c:v>
                </c:pt>
                <c:pt idx="124">
                  <c:v>511.14</c:v>
                </c:pt>
                <c:pt idx="125">
                  <c:v>150.18</c:v>
                </c:pt>
                <c:pt idx="126">
                  <c:v>352.65</c:v>
                </c:pt>
                <c:pt idx="127">
                  <c:v>472.62</c:v>
                </c:pt>
                <c:pt idx="128">
                  <c:v>195.33</c:v>
                </c:pt>
                <c:pt idx="129">
                  <c:v>64.63</c:v>
                </c:pt>
                <c:pt idx="130">
                  <c:v>461.12</c:v>
                </c:pt>
                <c:pt idx="131">
                  <c:v>437.11</c:v>
                </c:pt>
                <c:pt idx="132">
                  <c:v>268.97000000000003</c:v>
                </c:pt>
                <c:pt idx="133">
                  <c:v>265.26</c:v>
                </c:pt>
                <c:pt idx="134">
                  <c:v>178.91</c:v>
                </c:pt>
                <c:pt idx="135">
                  <c:v>356.5</c:v>
                </c:pt>
                <c:pt idx="136">
                  <c:v>229.65</c:v>
                </c:pt>
                <c:pt idx="137">
                  <c:v>121.54</c:v>
                </c:pt>
                <c:pt idx="138">
                  <c:v>268</c:v>
                </c:pt>
                <c:pt idx="139">
                  <c:v>426.16</c:v>
                </c:pt>
                <c:pt idx="140">
                  <c:v>316.32</c:v>
                </c:pt>
                <c:pt idx="141">
                  <c:v>492.5</c:v>
                </c:pt>
                <c:pt idx="142">
                  <c:v>232.33</c:v>
                </c:pt>
                <c:pt idx="143">
                  <c:v>165.97</c:v>
                </c:pt>
                <c:pt idx="144">
                  <c:v>675.5</c:v>
                </c:pt>
                <c:pt idx="145">
                  <c:v>134.66</c:v>
                </c:pt>
                <c:pt idx="146">
                  <c:v>487.36</c:v>
                </c:pt>
                <c:pt idx="147">
                  <c:v>314.74</c:v>
                </c:pt>
                <c:pt idx="148">
                  <c:v>111.39</c:v>
                </c:pt>
                <c:pt idx="149">
                  <c:v>318.47000000000003</c:v>
                </c:pt>
                <c:pt idx="150">
                  <c:v>301.75</c:v>
                </c:pt>
                <c:pt idx="151">
                  <c:v>413.36</c:v>
                </c:pt>
                <c:pt idx="152">
                  <c:v>286.68</c:v>
                </c:pt>
                <c:pt idx="153">
                  <c:v>556.30999999999995</c:v>
                </c:pt>
                <c:pt idx="154">
                  <c:v>332.19</c:v>
                </c:pt>
                <c:pt idx="155">
                  <c:v>336.24</c:v>
                </c:pt>
                <c:pt idx="156">
                  <c:v>180.39</c:v>
                </c:pt>
                <c:pt idx="157">
                  <c:v>484.35</c:v>
                </c:pt>
                <c:pt idx="158">
                  <c:v>562.82000000000005</c:v>
                </c:pt>
                <c:pt idx="159">
                  <c:v>447.34</c:v>
                </c:pt>
                <c:pt idx="160">
                  <c:v>649.04999999999995</c:v>
                </c:pt>
                <c:pt idx="161">
                  <c:v>205</c:v>
                </c:pt>
                <c:pt idx="162">
                  <c:v>263.32</c:v>
                </c:pt>
                <c:pt idx="163">
                  <c:v>443.99</c:v>
                </c:pt>
                <c:pt idx="164">
                  <c:v>395.31</c:v>
                </c:pt>
                <c:pt idx="165">
                  <c:v>335.04</c:v>
                </c:pt>
                <c:pt idx="166">
                  <c:v>333.85</c:v>
                </c:pt>
                <c:pt idx="167">
                  <c:v>531.05999999999995</c:v>
                </c:pt>
                <c:pt idx="168">
                  <c:v>232.19</c:v>
                </c:pt>
                <c:pt idx="169">
                  <c:v>223.04</c:v>
                </c:pt>
                <c:pt idx="170">
                  <c:v>422.92</c:v>
                </c:pt>
                <c:pt idx="171">
                  <c:v>257.45</c:v>
                </c:pt>
                <c:pt idx="172">
                  <c:v>380.75</c:v>
                </c:pt>
                <c:pt idx="173">
                  <c:v>225.37</c:v>
                </c:pt>
                <c:pt idx="174">
                  <c:v>582.55999999999995</c:v>
                </c:pt>
                <c:pt idx="175">
                  <c:v>344.91</c:v>
                </c:pt>
                <c:pt idx="176">
                  <c:v>330.79</c:v>
                </c:pt>
                <c:pt idx="177">
                  <c:v>460</c:v>
                </c:pt>
                <c:pt idx="178">
                  <c:v>439.88</c:v>
                </c:pt>
                <c:pt idx="179">
                  <c:v>255.79</c:v>
                </c:pt>
                <c:pt idx="180">
                  <c:v>159.74</c:v>
                </c:pt>
                <c:pt idx="181">
                  <c:v>404.39</c:v>
                </c:pt>
                <c:pt idx="182">
                  <c:v>187.57</c:v>
                </c:pt>
                <c:pt idx="183">
                  <c:v>410.87</c:v>
                </c:pt>
                <c:pt idx="184">
                  <c:v>275.77999999999997</c:v>
                </c:pt>
                <c:pt idx="185">
                  <c:v>746.74</c:v>
                </c:pt>
                <c:pt idx="186">
                  <c:v>310.24</c:v>
                </c:pt>
                <c:pt idx="187">
                  <c:v>341.12</c:v>
                </c:pt>
                <c:pt idx="188">
                  <c:v>91.71</c:v>
                </c:pt>
                <c:pt idx="189">
                  <c:v>331.59</c:v>
                </c:pt>
                <c:pt idx="190">
                  <c:v>381.07</c:v>
                </c:pt>
                <c:pt idx="191">
                  <c:v>255.24</c:v>
                </c:pt>
                <c:pt idx="192">
                  <c:v>692.05</c:v>
                </c:pt>
                <c:pt idx="193">
                  <c:v>344.41</c:v>
                </c:pt>
                <c:pt idx="194">
                  <c:v>397.06</c:v>
                </c:pt>
                <c:pt idx="195">
                  <c:v>586.14</c:v>
                </c:pt>
                <c:pt idx="196">
                  <c:v>333.36</c:v>
                </c:pt>
                <c:pt idx="197">
                  <c:v>245.45</c:v>
                </c:pt>
                <c:pt idx="198">
                  <c:v>379.09</c:v>
                </c:pt>
                <c:pt idx="199">
                  <c:v>440.95</c:v>
                </c:pt>
              </c:numCache>
            </c:numRef>
          </c:yVal>
          <c:smooth val="0"/>
          <c:extLst>
            <c:ext xmlns:c16="http://schemas.microsoft.com/office/drawing/2014/chart" uri="{C3380CC4-5D6E-409C-BE32-E72D297353CC}">
              <c16:uniqueId val="{00000001-FF7D-450D-AC43-42A8E78AEEB6}"/>
            </c:ext>
          </c:extLst>
        </c:ser>
        <c:dLbls>
          <c:showLegendKey val="0"/>
          <c:showVal val="0"/>
          <c:showCatName val="0"/>
          <c:showSerName val="0"/>
          <c:showPercent val="0"/>
          <c:showBubbleSize val="0"/>
        </c:dLbls>
        <c:axId val="475787391"/>
        <c:axId val="475790271"/>
      </c:scatterChart>
      <c:valAx>
        <c:axId val="475787391"/>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Profit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5790271"/>
        <c:crosses val="autoZero"/>
        <c:crossBetween val="midCat"/>
      </c:valAx>
      <c:valAx>
        <c:axId val="475790271"/>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5787391"/>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2 (Recovered).xlsx]PIVOTTABLES!PivotTable14</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600">
                <a:solidFill>
                  <a:schemeClr val="bg1"/>
                </a:solidFill>
              </a:rPr>
              <a:t>Monthly Sales Growth</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2"/>
          <c:order val="0"/>
          <c:tx>
            <c:strRef>
              <c:f>PIVOTTABLES!$B$25</c:f>
              <c:strCache>
                <c:ptCount val="1"/>
                <c:pt idx="0">
                  <c:v>Sum of Profit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PIVOTTABLES!$B$26:$B$38</c:f>
              <c:numCache>
                <c:formatCode>0.00</c:formatCode>
                <c:ptCount val="12"/>
                <c:pt idx="0">
                  <c:v>5763.4</c:v>
                </c:pt>
                <c:pt idx="1">
                  <c:v>5039.2299999999996</c:v>
                </c:pt>
                <c:pt idx="2">
                  <c:v>7071.39</c:v>
                </c:pt>
                <c:pt idx="3">
                  <c:v>7642.86</c:v>
                </c:pt>
                <c:pt idx="4">
                  <c:v>6121.3499999999995</c:v>
                </c:pt>
                <c:pt idx="5">
                  <c:v>6918</c:v>
                </c:pt>
                <c:pt idx="6">
                  <c:v>3743.85</c:v>
                </c:pt>
                <c:pt idx="7">
                  <c:v>3302.84</c:v>
                </c:pt>
                <c:pt idx="8">
                  <c:v>7457.5199999999995</c:v>
                </c:pt>
                <c:pt idx="9">
                  <c:v>4861.7</c:v>
                </c:pt>
                <c:pt idx="10">
                  <c:v>6814.8799999999992</c:v>
                </c:pt>
                <c:pt idx="11">
                  <c:v>3549.99</c:v>
                </c:pt>
              </c:numCache>
            </c:numRef>
          </c:val>
          <c:smooth val="0"/>
          <c:extLst>
            <c:ext xmlns:c16="http://schemas.microsoft.com/office/drawing/2014/chart" uri="{C3380CC4-5D6E-409C-BE32-E72D297353CC}">
              <c16:uniqueId val="{00000009-2B53-4E56-98DE-C443F9D03C51}"/>
            </c:ext>
          </c:extLst>
        </c:ser>
        <c:ser>
          <c:idx val="3"/>
          <c:order val="1"/>
          <c:tx>
            <c:strRef>
              <c:f>PIVOTTABLES!$C$25</c:f>
              <c:strCache>
                <c:ptCount val="1"/>
                <c:pt idx="0">
                  <c:v>Sum of Sales</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PIVOTTABLES!$A$26:$A$38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PIVOTTABLES!$C$26:$C$38</c:f>
              <c:numCache>
                <c:formatCode>0.00</c:formatCode>
                <c:ptCount val="12"/>
                <c:pt idx="0">
                  <c:v>14914.650000000001</c:v>
                </c:pt>
                <c:pt idx="1">
                  <c:v>14006.359999999999</c:v>
                </c:pt>
                <c:pt idx="2">
                  <c:v>17655.219999999998</c:v>
                </c:pt>
                <c:pt idx="3">
                  <c:v>22242.129999999997</c:v>
                </c:pt>
                <c:pt idx="4">
                  <c:v>18507.339999999997</c:v>
                </c:pt>
                <c:pt idx="5">
                  <c:v>20187.509999999998</c:v>
                </c:pt>
                <c:pt idx="6">
                  <c:v>11609.039999999999</c:v>
                </c:pt>
                <c:pt idx="7">
                  <c:v>10091.699999999999</c:v>
                </c:pt>
                <c:pt idx="8">
                  <c:v>20533.499999999996</c:v>
                </c:pt>
                <c:pt idx="9">
                  <c:v>14215.240000000002</c:v>
                </c:pt>
                <c:pt idx="10">
                  <c:v>20135.030000000002</c:v>
                </c:pt>
                <c:pt idx="11">
                  <c:v>11120.04</c:v>
                </c:pt>
              </c:numCache>
            </c:numRef>
          </c:val>
          <c:smooth val="0"/>
          <c:extLst>
            <c:ext xmlns:c16="http://schemas.microsoft.com/office/drawing/2014/chart" uri="{C3380CC4-5D6E-409C-BE32-E72D297353CC}">
              <c16:uniqueId val="{0000000A-2B53-4E56-98DE-C443F9D03C51}"/>
            </c:ext>
          </c:extLst>
        </c:ser>
        <c:dLbls>
          <c:dLblPos val="t"/>
          <c:showLegendKey val="0"/>
          <c:showVal val="1"/>
          <c:showCatName val="0"/>
          <c:showSerName val="0"/>
          <c:showPercent val="0"/>
          <c:showBubbleSize val="0"/>
        </c:dLbls>
        <c:marker val="1"/>
        <c:smooth val="0"/>
        <c:axId val="203563743"/>
        <c:axId val="203574303"/>
      </c:lineChart>
      <c:catAx>
        <c:axId val="2035637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74303"/>
        <c:crosses val="autoZero"/>
        <c:auto val="1"/>
        <c:lblAlgn val="ctr"/>
        <c:lblOffset val="100"/>
        <c:noMultiLvlLbl val="0"/>
      </c:catAx>
      <c:valAx>
        <c:axId val="203574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356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PIVOTTABLES!$M$25</c:f>
              <c:strCache>
                <c:ptCount val="1"/>
                <c:pt idx="0">
                  <c:v>Top 10 Customers</c:v>
                </c:pt>
              </c:strCache>
            </c:strRef>
          </c:tx>
          <c:spPr>
            <a:gradFill rotWithShape="1">
              <a:gsLst>
                <a:gs pos="0">
                  <a:schemeClr val="accent1">
                    <a:tint val="98000"/>
                    <a:lumMod val="110000"/>
                  </a:schemeClr>
                </a:gs>
                <a:gs pos="84000">
                  <a:schemeClr val="accent1">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PIVOTTABLES!$N$24:$O$24</c:f>
              <c:strCache>
                <c:ptCount val="2"/>
                <c:pt idx="0">
                  <c:v>Total Sales</c:v>
                </c:pt>
                <c:pt idx="1">
                  <c:v>Profit</c:v>
                </c:pt>
              </c:strCache>
            </c:strRef>
          </c:cat>
          <c:val>
            <c:numRef>
              <c:f>PIVOTTABLES!$N$25:$O$25</c:f>
              <c:numCache>
                <c:formatCode>General</c:formatCode>
                <c:ptCount val="2"/>
                <c:pt idx="0">
                  <c:v>112686.16999999998</c:v>
                </c:pt>
                <c:pt idx="1">
                  <c:v>38794.129999999997</c:v>
                </c:pt>
              </c:numCache>
            </c:numRef>
          </c:val>
          <c:extLst>
            <c:ext xmlns:c16="http://schemas.microsoft.com/office/drawing/2014/chart" uri="{C3380CC4-5D6E-409C-BE32-E72D297353CC}">
              <c16:uniqueId val="{00000000-F536-4993-9B22-E3AE216C70EF}"/>
            </c:ext>
          </c:extLst>
        </c:ser>
        <c:ser>
          <c:idx val="1"/>
          <c:order val="1"/>
          <c:tx>
            <c:strRef>
              <c:f>PIVOTTABLES!$M$26</c:f>
              <c:strCache>
                <c:ptCount val="1"/>
                <c:pt idx="0">
                  <c:v>Others Customers</c:v>
                </c:pt>
              </c:strCache>
            </c:strRef>
          </c:tx>
          <c:spPr>
            <a:gradFill rotWithShape="1">
              <a:gsLst>
                <a:gs pos="0">
                  <a:schemeClr val="accent2">
                    <a:tint val="98000"/>
                    <a:lumMod val="110000"/>
                  </a:schemeClr>
                </a:gs>
                <a:gs pos="84000">
                  <a:schemeClr val="accent2">
                    <a:shade val="90000"/>
                    <a:lumMod val="88000"/>
                  </a:schemeClr>
                </a:gs>
              </a:gsLst>
              <a:lin ang="5400000" scaled="0"/>
            </a:gradFill>
            <a:ln>
              <a:noFill/>
            </a:ln>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PIVOTTABLES!$N$24:$O$24</c:f>
              <c:strCache>
                <c:ptCount val="2"/>
                <c:pt idx="0">
                  <c:v>Total Sales</c:v>
                </c:pt>
                <c:pt idx="1">
                  <c:v>Profit</c:v>
                </c:pt>
              </c:strCache>
            </c:strRef>
          </c:cat>
          <c:val>
            <c:numRef>
              <c:f>PIVOTTABLES!$N$26:$O$26</c:f>
              <c:numCache>
                <c:formatCode>General</c:formatCode>
                <c:ptCount val="2"/>
                <c:pt idx="0">
                  <c:v>82531.59</c:v>
                </c:pt>
                <c:pt idx="1">
                  <c:v>29492.880000000001</c:v>
                </c:pt>
              </c:numCache>
            </c:numRef>
          </c:val>
          <c:extLst>
            <c:ext xmlns:c16="http://schemas.microsoft.com/office/drawing/2014/chart" uri="{C3380CC4-5D6E-409C-BE32-E72D297353CC}">
              <c16:uniqueId val="{00000001-F536-4993-9B22-E3AE216C70EF}"/>
            </c:ext>
          </c:extLst>
        </c:ser>
        <c:dLbls>
          <c:dLblPos val="outEnd"/>
          <c:showLegendKey val="0"/>
          <c:showVal val="1"/>
          <c:showCatName val="0"/>
          <c:showSerName val="0"/>
          <c:showPercent val="0"/>
          <c:showBubbleSize val="0"/>
        </c:dLbls>
        <c:gapWidth val="100"/>
        <c:overlap val="-24"/>
        <c:axId val="2057786576"/>
        <c:axId val="2057784656"/>
      </c:barChart>
      <c:catAx>
        <c:axId val="20577865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84656"/>
        <c:crosses val="autoZero"/>
        <c:auto val="1"/>
        <c:lblAlgn val="ctr"/>
        <c:lblOffset val="100"/>
        <c:noMultiLvlLbl val="0"/>
      </c:catAx>
      <c:valAx>
        <c:axId val="2057784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7786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7</xdr:col>
      <xdr:colOff>521970</xdr:colOff>
      <xdr:row>1</xdr:row>
      <xdr:rowOff>175260</xdr:rowOff>
    </xdr:from>
    <xdr:to>
      <xdr:col>15</xdr:col>
      <xdr:colOff>434340</xdr:colOff>
      <xdr:row>21</xdr:row>
      <xdr:rowOff>106680</xdr:rowOff>
    </xdr:to>
    <xdr:graphicFrame macro="">
      <xdr:nvGraphicFramePr>
        <xdr:cNvPr id="2" name="Chart 1">
          <a:extLst>
            <a:ext uri="{FF2B5EF4-FFF2-40B4-BE49-F238E27FC236}">
              <a16:creationId xmlns:a16="http://schemas.microsoft.com/office/drawing/2014/main" id="{0263806D-CCBF-6DFD-B663-4F69B08DC5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555813</xdr:colOff>
      <xdr:row>21</xdr:row>
      <xdr:rowOff>73216</xdr:rowOff>
    </xdr:from>
    <xdr:to>
      <xdr:col>24</xdr:col>
      <xdr:colOff>152401</xdr:colOff>
      <xdr:row>39</xdr:row>
      <xdr:rowOff>74279</xdr:rowOff>
    </xdr:to>
    <xdr:graphicFrame macro="">
      <xdr:nvGraphicFramePr>
        <xdr:cNvPr id="3" name="Chart 2">
          <a:extLst>
            <a:ext uri="{FF2B5EF4-FFF2-40B4-BE49-F238E27FC236}">
              <a16:creationId xmlns:a16="http://schemas.microsoft.com/office/drawing/2014/main" id="{9D235C29-1A4F-4C01-B0A3-5CA4BC6DCE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184607</xdr:colOff>
      <xdr:row>39</xdr:row>
      <xdr:rowOff>99315</xdr:rowOff>
    </xdr:from>
    <xdr:to>
      <xdr:col>14</xdr:col>
      <xdr:colOff>544925</xdr:colOff>
      <xdr:row>56</xdr:row>
      <xdr:rowOff>50587</xdr:rowOff>
    </xdr:to>
    <xdr:graphicFrame macro="">
      <xdr:nvGraphicFramePr>
        <xdr:cNvPr id="4" name="Chart 3">
          <a:extLst>
            <a:ext uri="{FF2B5EF4-FFF2-40B4-BE49-F238E27FC236}">
              <a16:creationId xmlns:a16="http://schemas.microsoft.com/office/drawing/2014/main" id="{E66332DE-5185-4CDC-9A9A-A643B3815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569899</xdr:colOff>
      <xdr:row>39</xdr:row>
      <xdr:rowOff>101173</xdr:rowOff>
    </xdr:from>
    <xdr:to>
      <xdr:col>24</xdr:col>
      <xdr:colOff>148557</xdr:colOff>
      <xdr:row>56</xdr:row>
      <xdr:rowOff>41622</xdr:rowOff>
    </xdr:to>
    <xdr:graphicFrame macro="">
      <xdr:nvGraphicFramePr>
        <xdr:cNvPr id="5" name="Chart 4">
          <a:extLst>
            <a:ext uri="{FF2B5EF4-FFF2-40B4-BE49-F238E27FC236}">
              <a16:creationId xmlns:a16="http://schemas.microsoft.com/office/drawing/2014/main" id="{F100973C-19E5-4A3C-B6FD-7CB200AC0E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172191</xdr:colOff>
      <xdr:row>21</xdr:row>
      <xdr:rowOff>72936</xdr:rowOff>
    </xdr:from>
    <xdr:to>
      <xdr:col>32</xdr:col>
      <xdr:colOff>366155</xdr:colOff>
      <xdr:row>39</xdr:row>
      <xdr:rowOff>72935</xdr:rowOff>
    </xdr:to>
    <xdr:graphicFrame macro="">
      <xdr:nvGraphicFramePr>
        <xdr:cNvPr id="6" name="Chart 5">
          <a:extLst>
            <a:ext uri="{FF2B5EF4-FFF2-40B4-BE49-F238E27FC236}">
              <a16:creationId xmlns:a16="http://schemas.microsoft.com/office/drawing/2014/main" id="{FA9197BB-C1E1-4189-91D4-E36655B9A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174170</xdr:colOff>
      <xdr:row>39</xdr:row>
      <xdr:rowOff>97972</xdr:rowOff>
    </xdr:from>
    <xdr:to>
      <xdr:col>32</xdr:col>
      <xdr:colOff>374467</xdr:colOff>
      <xdr:row>56</xdr:row>
      <xdr:rowOff>43543</xdr:rowOff>
    </xdr:to>
    <xdr:graphicFrame macro="">
      <xdr:nvGraphicFramePr>
        <xdr:cNvPr id="7" name="Chart 6">
          <a:extLst>
            <a:ext uri="{FF2B5EF4-FFF2-40B4-BE49-F238E27FC236}">
              <a16:creationId xmlns:a16="http://schemas.microsoft.com/office/drawing/2014/main" id="{B142BC94-7E69-48E2-83FE-40569D13E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174171</xdr:colOff>
      <xdr:row>56</xdr:row>
      <xdr:rowOff>97972</xdr:rowOff>
    </xdr:from>
    <xdr:to>
      <xdr:col>14</xdr:col>
      <xdr:colOff>533399</xdr:colOff>
      <xdr:row>73</xdr:row>
      <xdr:rowOff>65316</xdr:rowOff>
    </xdr:to>
    <xdr:graphicFrame macro="">
      <xdr:nvGraphicFramePr>
        <xdr:cNvPr id="8" name="Chart 7">
          <a:extLst>
            <a:ext uri="{FF2B5EF4-FFF2-40B4-BE49-F238E27FC236}">
              <a16:creationId xmlns:a16="http://schemas.microsoft.com/office/drawing/2014/main" id="{A4809E79-F75E-4261-9829-8B97EBFAE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185697</xdr:colOff>
      <xdr:row>21</xdr:row>
      <xdr:rowOff>70246</xdr:rowOff>
    </xdr:from>
    <xdr:to>
      <xdr:col>14</xdr:col>
      <xdr:colOff>534040</xdr:colOff>
      <xdr:row>39</xdr:row>
      <xdr:rowOff>70245</xdr:rowOff>
    </xdr:to>
    <xdr:graphicFrame macro="">
      <xdr:nvGraphicFramePr>
        <xdr:cNvPr id="2" name="Chart 1">
          <a:extLst>
            <a:ext uri="{FF2B5EF4-FFF2-40B4-BE49-F238E27FC236}">
              <a16:creationId xmlns:a16="http://schemas.microsoft.com/office/drawing/2014/main" id="{679ABAA2-9C09-492B-9AC1-64B8816A2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163284</xdr:colOff>
      <xdr:row>56</xdr:row>
      <xdr:rowOff>65313</xdr:rowOff>
    </xdr:from>
    <xdr:to>
      <xdr:col>32</xdr:col>
      <xdr:colOff>391885</xdr:colOff>
      <xdr:row>72</xdr:row>
      <xdr:rowOff>119742</xdr:rowOff>
    </xdr:to>
    <xdr:graphicFrame macro="">
      <xdr:nvGraphicFramePr>
        <xdr:cNvPr id="9" name="Chart 8">
          <a:extLst>
            <a:ext uri="{FF2B5EF4-FFF2-40B4-BE49-F238E27FC236}">
              <a16:creationId xmlns:a16="http://schemas.microsoft.com/office/drawing/2014/main" id="{9FBF5D63-7439-47FF-9982-7505106BB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367938</xdr:colOff>
      <xdr:row>21</xdr:row>
      <xdr:rowOff>59871</xdr:rowOff>
    </xdr:from>
    <xdr:to>
      <xdr:col>4</xdr:col>
      <xdr:colOff>171995</xdr:colOff>
      <xdr:row>33</xdr:row>
      <xdr:rowOff>126546</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86CC78C1-90EA-F79E-93C5-9171CF40F0C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27909" y="4860471"/>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369026</xdr:colOff>
      <xdr:row>33</xdr:row>
      <xdr:rowOff>169818</xdr:rowOff>
    </xdr:from>
    <xdr:to>
      <xdr:col>4</xdr:col>
      <xdr:colOff>173083</xdr:colOff>
      <xdr:row>46</xdr:row>
      <xdr:rowOff>7893</xdr:rowOff>
    </xdr:to>
    <mc:AlternateContent xmlns:mc="http://schemas.openxmlformats.org/markup-compatibility/2006">
      <mc:Choice xmlns:a14="http://schemas.microsoft.com/office/drawing/2010/main" Requires="a14">
        <xdr:graphicFrame macro="">
          <xdr:nvGraphicFramePr>
            <xdr:cNvPr id="12" name="Product_Category">
              <a:extLst>
                <a:ext uri="{FF2B5EF4-FFF2-40B4-BE49-F238E27FC236}">
                  <a16:creationId xmlns:a16="http://schemas.microsoft.com/office/drawing/2014/main" id="{0657F2C4-E333-4EE3-D524-01E49CEB1BB9}"/>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228997" y="7713618"/>
              <a:ext cx="1828800" cy="2809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575855</xdr:colOff>
      <xdr:row>56</xdr:row>
      <xdr:rowOff>97972</xdr:rowOff>
    </xdr:from>
    <xdr:to>
      <xdr:col>24</xdr:col>
      <xdr:colOff>65315</xdr:colOff>
      <xdr:row>62</xdr:row>
      <xdr:rowOff>97972</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510162B0-ADDD-356A-B7D6-EF06762FDCD0}"/>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9556569" y="12899572"/>
              <a:ext cx="55854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inojia" refreshedDate="46080.818862268519" createdVersion="8" refreshedVersion="8" minRefreshableVersion="3" recordCount="200" xr:uid="{CA13499B-861E-48F8-B9B6-CE54A2C27B35}">
  <cacheSource type="worksheet">
    <worksheetSource name="Table1"/>
  </cacheSource>
  <cacheFields count="15">
    <cacheField name="Customer_ID" numFmtId="0">
      <sharedItems/>
    </cacheField>
    <cacheField name="Customer_Name" numFmtId="0">
      <sharedItems/>
    </cacheField>
    <cacheField name="Region" numFmtId="0">
      <sharedItems/>
    </cacheField>
    <cacheField name="Product_Category" numFmtId="0">
      <sharedItems/>
    </cacheField>
    <cacheField name="Sales" numFmtId="2">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4"/>
    </cacheField>
    <cacheField name="Profit" numFmtId="2">
      <sharedItems containsSemiMixedTypes="0" containsString="0" containsNumber="1" minValue="64.63" maxValue="769.46"/>
    </cacheField>
    <cacheField name="D_Type" numFmtId="0">
      <sharedItems/>
    </cacheField>
    <cacheField name="Timestamp" numFmtId="22">
      <sharedItems containsSemiMixedTypes="0" containsNonDate="0" containsDate="1" containsString="0" minDate="2026-02-27T19:38:54" maxDate="2026-02-27T19:38:54"/>
    </cacheField>
    <cacheField name="High_Sales" numFmtId="0">
      <sharedItems count="4">
        <s v="High purchase"/>
        <s v="Normal purchase"/>
        <s v="High Value" u="1"/>
        <s v="Normal" u="1"/>
      </sharedItems>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inojia" refreshedDate="46080.855213078707" createdVersion="8" refreshedVersion="8" minRefreshableVersion="3" recordCount="200" xr:uid="{B0A19269-3FEB-45A8-820D-1E3D90E5F13E}">
  <cacheSource type="worksheet">
    <worksheetSource name="Table1"/>
  </cacheSource>
  <cacheFields count="13">
    <cacheField name="Customer_ID" numFmtId="0">
      <sharedItems/>
    </cacheField>
    <cacheField name="Customer_Name" numFmtId="0">
      <sharedItems/>
    </cacheField>
    <cacheField name="Region" numFmtId="0">
      <sharedItems/>
    </cacheField>
    <cacheField name="Product_Category" numFmtId="0">
      <sharedItems count="5">
        <s v="Books"/>
        <s v="Clothing"/>
        <s v="Electronics"/>
        <s v="Furniture"/>
        <s v="Office Supplies"/>
      </sharedItems>
    </cacheField>
    <cacheField name="Sales" numFmtId="2">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cacheField>
    <cacheField name="Profit" numFmtId="2">
      <sharedItems containsSemiMixedTypes="0" containsString="0" containsNumber="1" minValue="64.63" maxValue="769.46"/>
    </cacheField>
    <cacheField name="D_Type" numFmtId="0">
      <sharedItems/>
    </cacheField>
    <cacheField name="Timestamp" numFmtId="22">
      <sharedItems containsSemiMixedTypes="0" containsNonDate="0" containsDate="1" containsString="0" minDate="2026-02-27T20:31:00" maxDate="2026-02-27T20:31:00"/>
    </cacheField>
    <cacheField name="High_Sales" numFmtId="0">
      <sharedItems count="2">
        <s v="High purchase"/>
        <s v="Normal purchase"/>
      </sharedItems>
    </cacheField>
    <cacheField name="Profit Margin" numFmtId="10">
      <sharedItems containsSemiMixedTypes="0" containsString="0" containsNumber="1" minValue="0.19999641326375064" maxValue="0.50000554206985226" count="191">
        <n v="0.32000115820054248"/>
        <n v="0.39999818393142528"/>
        <n v="0.40000560742422964"/>
        <n v="0.2125031211806605"/>
        <n v="0.32"/>
        <n v="0.31500352098090389"/>
        <n v="0.23749743838849971"/>
        <n v="0.279998510893743"/>
        <n v="0.38000957052278977"/>
        <n v="0.47499694836635886"/>
        <n v="0.42749965030963494"/>
        <n v="0.33999687297581022"/>
        <n v="0.37999966431125065"/>
        <n v="0.33250231064844094"/>
        <n v="0.29750608622309122"/>
        <n v="0.20000266146793261"/>
        <n v="0.34000319059231066"/>
        <n v="0.31999371760640805"/>
        <n v="0.319996813045268"/>
        <n v="0.25000775169762179"/>
        <n v="0.5"/>
        <n v="0.21250257360510602"/>
        <n v="0.40000269117429388"/>
        <n v="0.24999646077834564"/>
        <n v="0.40499940560460823"/>
        <n v="0.25"/>
        <n v="0.35000148029724371"/>
        <n v="0.37999552758521549"/>
        <n v="0.40499725425590333"/>
        <n v="0.19999750377553949"/>
        <n v="0.22500017232941114"/>
        <n v="0.38000019546329689"/>
        <n v="0.29749800871480109"/>
        <n v="0.22500490758247321"/>
        <n v="0.42749604463319174"/>
        <n v="0.31999661289639697"/>
        <n v="0.42749607572658521"/>
        <n v="0.33249648951108463"/>
        <n v="0.29749447024279191"/>
        <n v="0.3400065468704237"/>
        <n v="0.36000382206547893"/>
        <n v="0.35999727090196693"/>
        <n v="0.38249883181769173"/>
        <n v="0.3600047570910388"/>
        <n v="0.2975025463434508"/>
        <n v="0.25000583634878021"/>
        <n v="0.38249742945275905"/>
        <n v="0.4500034945136136"/>
        <n v="0.2800016851329149"/>
        <n v="0.22500483590173445"/>
        <n v="0.23750085660861306"/>
        <n v="0.45000081524840624"/>
        <n v="0.35000414010101843"/>
        <n v="0.35999575776858628"/>
        <n v="0.21249389350268688"/>
        <n v="0.27999869428969359"/>
        <n v="0.39999589010130904"/>
        <n v="0.19999730316473616"/>
        <n v="0.36000384362838522"/>
        <n v="0.36000144581797155"/>
        <n v="0.45000920264218086"/>
        <n v="0.31500144584506967"/>
        <n v="0.2000039780016509"/>
        <n v="0.23749659121898009"/>
        <n v="0.29749685899294481"/>
        <n v="0.38000319474236682"/>
        <n v="0.33249959893243108"/>
        <n v="0.23749828475094584"/>
        <n v="0.42750462842161507"/>
        <n v="0.23750533959846221"/>
        <n v="0.45"/>
        <n v="0.21249791577894289"/>
        <n v="0.31999502765864879"/>
        <n v="0.2"/>
        <n v="0.21249773710975431"/>
        <n v="0.35000079280764906"/>
        <n v="0.3325033296658752"/>
        <n v="0.4499973005560855"/>
        <n v="0.44999883853283462"/>
        <n v="0.39999411513733796"/>
        <n v="0.34999868845578785"/>
        <n v="0.22500253138922641"/>
        <n v="0.38000149437740499"/>
        <n v="0.44999957224375259"/>
        <n v="0.25000187143958624"/>
        <n v="0.3500057227881424"/>
        <n v="0.44999930746963251"/>
        <n v="0.38249893877833896"/>
        <n v="0.38000300516413732"/>
        <n v="0.31500158867050976"/>
        <n v="0.31499319802674064"/>
        <n v="0.382495059457854"/>
        <n v="0.20000172571487737"/>
        <n v="0.339997930249405"/>
        <n v="0.39999782011596985"/>
        <n v="0.29750121486483028"/>
        <n v="0.45000082931117419"/>
        <n v="0.35999419539743388"/>
        <n v="0.50000554206985226"/>
        <n v="0.36000136525760701"/>
        <n v="0.45000454458235284"/>
        <n v="0.2000019722115394"/>
        <n v="0.24999729814436555"/>
        <n v="0.35000077727859225"/>
        <n v="0.32000166385890477"/>
        <n v="0.34000221987901652"/>
        <n v="0.39999792063046485"/>
        <n v="0.4500006861440079"/>
        <n v="0.4249975036293388"/>
        <n v="0.35999510294027631"/>
        <n v="0.45000501741760685"/>
        <n v="0.29750085873945431"/>
        <n v="0.25000648491608518"/>
        <n v="0.4000060506133809"/>
        <n v="0.2500036293425083"/>
        <n v="0.3800016011528301"/>
        <n v="0.42750093668040462"/>
        <n v="0.34000277068614065"/>
        <n v="0.33250112296169398"/>
        <n v="0.33250148434021076"/>
        <n v="0.49999570081082706"/>
        <n v="0.40500315407664406"/>
        <n v="0.4"/>
        <n v="0.21249982312905918"/>
        <n v="0.25000177230804133"/>
        <n v="0.35000333251871768"/>
        <n v="0.21250462368632914"/>
        <n v="0.25000967080577152"/>
        <n v="0.37999802221709461"/>
        <n v="0.38000312967277533"/>
        <n v="0.31500480172393602"/>
        <n v="0.42750416711635547"/>
        <n v="0.2799960984649898"/>
        <n v="0.2375034197053191"/>
        <n v="0.33249382777315983"/>
        <n v="0.29750012216660732"/>
        <n v="0.21249781671122817"/>
        <n v="0.39999675129542095"/>
        <n v="0.19999655668132946"/>
        <n v="0.42750431445277282"/>
        <n v="0.42499779793887077"/>
        <n v="0.39998811857660543"/>
        <n v="0.35999674986519331"/>
        <n v="0.47500037729584521"/>
        <n v="0.35999612177622647"/>
        <n v="0.36000361733153979"/>
        <n v="0.40500637541104628"/>
        <n v="0.47500086184112245"/>
        <n v="0.33250211670281493"/>
        <n v="0.47499957308014135"/>
        <n v="0.31500341374601731"/>
        <n v="0.19999881038061873"/>
        <n v="0.47499802512046763"/>
        <n v="0.45000139362463193"/>
        <n v="0.45000039977292899"/>
        <n v="0.40000357672979597"/>
        <n v="0.40000123257447834"/>
        <n v="0.31999250749250752"/>
        <n v="0.44999658213138288"/>
        <n v="0.39999819816573273"/>
        <n v="0.36000109281655257"/>
        <n v="0.40500453309156847"/>
        <n v="0.45000539170755383"/>
        <n v="0.40499977121242159"/>
        <n v="0.40499197655759434"/>
        <n v="0.19999641326375064"/>
        <n v="0.32000369800727835"/>
        <n v="0.32000056795592663"/>
        <n v="0.36000049437035753"/>
        <n v="0.34000374594599925"/>
        <n v="0.40000241846741719"/>
        <n v="0.44999657611300781"/>
        <n v="0.40000363738871864"/>
        <n v="0.36000394077576986"/>
        <n v="0.3200048078849313"/>
        <n v="0.37999793269998777"/>
        <n v="0.42750022791503328"/>
        <n v="0.47500520243242617"/>
        <n v="0.27999959387976808"/>
        <n v="0.499996652136941"/>
        <n v="0.44999492334247138"/>
        <n v="0.20000436166964711"/>
        <n v="0.27999999999999997"/>
        <n v="0.33999813509877314"/>
        <n v="0.47500240229522145"/>
        <n v="0.31499570140298888"/>
        <n v="0.42499491581662691"/>
        <n v="0.45000000000000007"/>
        <n v="0.45000366676444697"/>
        <n v="0.37999819568769355"/>
        <n v="0.4749978455704929"/>
      </sharedItems>
    </cacheField>
  </cacheFields>
  <extLst>
    <ext xmlns:x14="http://schemas.microsoft.com/office/spreadsheetml/2009/9/main" uri="{725AE2AE-9491-48be-B2B4-4EB974FC3084}">
      <x14:pivotCacheDefinition pivotCacheId="107190754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jun sinojia" refreshedDate="46081.578965740744" createdVersion="8" refreshedVersion="8" minRefreshableVersion="3" recordCount="200" xr:uid="{873EF3B9-7754-4352-B4B8-8F63BCB064EE}">
  <cacheSource type="worksheet">
    <worksheetSource name="Table1"/>
  </cacheSource>
  <cacheFields count="16">
    <cacheField name="Customer_ID" numFmtId="0">
      <sharedItems/>
    </cacheField>
    <cacheField name="Customer_Name" numFmtId="0">
      <sharedItems count="27">
        <s v="James Davis"/>
        <s v="Robert Anderson"/>
        <s v="James Taylor"/>
        <s v="James Wilson"/>
        <s v="Michael Anderson"/>
        <s v="Linda Wilson"/>
        <s v="Mary Davis"/>
        <s v="Linda Jackson"/>
        <s v="David Thomas"/>
        <s v="Emma Davis"/>
        <s v="David Smith"/>
        <s v="Sarah Anderson"/>
        <s v="Lisa Thomas"/>
        <s v="Mary Jackson"/>
        <s v="Lisa Davis"/>
        <s v="Linda Brown"/>
        <s v="John Brown"/>
        <s v="Linda Taylor"/>
        <s v="David Brown"/>
        <s v="David Davis"/>
        <s v="Mary Wilson"/>
        <s v="Emma Wilson"/>
        <s v="Linda Davis"/>
        <s v="Sarah Davis"/>
        <s v="Emma Taylor"/>
        <s v="Linda Moore"/>
        <s v="David Anderson"/>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2">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ount="5">
        <n v="0.2"/>
        <n v="0"/>
        <n v="0.15"/>
        <n v="0.1"/>
        <n v="0.05"/>
      </sharedItems>
    </cacheField>
    <cacheField name="Order_Date" numFmtId="14">
      <sharedItems containsSemiMixedTypes="0" containsNonDate="0" containsDate="1" containsString="0" minDate="2024-04-10T00:00:00" maxDate="2025-04-08T00:00:00" count="148">
        <d v="2024-04-10T00:00:00"/>
        <d v="2024-04-11T00:00:00"/>
        <d v="2024-04-14T00:00:00"/>
        <d v="2024-04-15T00:00:00"/>
        <d v="2024-04-16T00:00:00"/>
        <d v="2024-04-19T00:00:00"/>
        <d v="2024-04-20T00:00:00"/>
        <d v="2024-04-22T00:00:00"/>
        <d v="2024-04-24T00:00:00"/>
        <d v="2024-04-27T00:00:00"/>
        <d v="2024-04-28T00:00:00"/>
        <d v="2024-04-29T00:00:00"/>
        <d v="2024-04-30T00:00:00"/>
        <d v="2024-05-02T00:00:00"/>
        <d v="2024-05-03T00:00:00"/>
        <d v="2024-05-04T00:00:00"/>
        <d v="2024-05-06T00:00:00"/>
        <d v="2024-05-08T00:00:00"/>
        <d v="2024-05-10T00:00:00"/>
        <d v="2024-05-14T00:00:00"/>
        <d v="2024-05-15T00:00:00"/>
        <d v="2024-05-16T00:00:00"/>
        <d v="2024-05-17T00:00:00"/>
        <d v="2024-05-22T00:00:00"/>
        <d v="2024-05-23T00:00:00"/>
        <d v="2024-06-02T00:00:00"/>
        <d v="2024-06-04T00:00:00"/>
        <d v="2024-06-05T00:00:00"/>
        <d v="2024-06-06T00:00:00"/>
        <d v="2024-06-07T00:00:00"/>
        <d v="2024-06-08T00:00:00"/>
        <d v="2024-06-14T00:00:00"/>
        <d v="2024-06-18T00:00:00"/>
        <d v="2024-06-20T00:00:00"/>
        <d v="2024-06-21T00:00:00"/>
        <d v="2024-06-23T00:00:00"/>
        <d v="2024-06-25T00:00:00"/>
        <d v="2024-06-27T00:00:00"/>
        <d v="2024-06-28T00:00:00"/>
        <d v="2024-06-30T00:00:00"/>
        <d v="2024-07-05T00:00:00"/>
        <d v="2024-07-06T00:00:00"/>
        <d v="2024-07-08T00:00:00"/>
        <d v="2024-07-09T00:00:00"/>
        <d v="2024-07-14T00:00:00"/>
        <d v="2024-07-15T00:00:00"/>
        <d v="2024-07-21T00:00:00"/>
        <d v="2024-07-29T00:00:00"/>
        <d v="2024-07-30T00:00:00"/>
        <d v="2024-07-31T00:00:00"/>
        <d v="2024-08-05T00:00:00"/>
        <d v="2024-08-08T00:00:00"/>
        <d v="2024-08-09T00:00:00"/>
        <d v="2024-08-15T00:00:00"/>
        <d v="2024-08-18T00:00:00"/>
        <d v="2024-08-19T00:00:00"/>
        <d v="2024-08-22T00:00:00"/>
        <d v="2024-08-30T00:00:00"/>
        <d v="2024-09-01T00:00:00"/>
        <d v="2024-09-09T00:00:00"/>
        <d v="2024-09-11T00:00:00"/>
        <d v="2024-09-12T00:00:00"/>
        <d v="2024-09-14T00:00:00"/>
        <d v="2024-09-16T00:00:00"/>
        <d v="2024-09-17T00:00:00"/>
        <d v="2024-09-18T00:00:00"/>
        <d v="2024-09-22T00:00:00"/>
        <d v="2024-09-23T00:00:00"/>
        <d v="2024-09-24T00:00:00"/>
        <d v="2024-09-29T00:00:00"/>
        <d v="2024-09-30T00:00:00"/>
        <d v="2024-10-02T00:00:00"/>
        <d v="2024-10-05T00:00:00"/>
        <d v="2024-10-10T00:00:00"/>
        <d v="2024-10-12T00:00:00"/>
        <d v="2024-10-15T00:00:00"/>
        <d v="2024-10-16T00:00:00"/>
        <d v="2024-10-17T00:00:00"/>
        <d v="2024-10-19T00:00:00"/>
        <d v="2024-10-20T00:00:00"/>
        <d v="2024-10-28T00:00:00"/>
        <d v="2024-10-30T00:00:00"/>
        <d v="2024-11-01T00:00:00"/>
        <d v="2024-11-03T00:00:00"/>
        <d v="2024-11-09T00:00:00"/>
        <d v="2024-11-12T00:00:00"/>
        <d v="2024-11-15T00:00:00"/>
        <d v="2024-11-16T00:00:00"/>
        <d v="2024-11-17T00:00:00"/>
        <d v="2024-11-19T00:00:00"/>
        <d v="2024-11-20T00:00:00"/>
        <d v="2024-11-26T00:00:00"/>
        <d v="2024-11-28T00:00:00"/>
        <d v="2024-11-29T00:00:00"/>
        <d v="2024-11-30T00:00:00"/>
        <d v="2024-12-04T00:00:00"/>
        <d v="2024-12-05T00:00:00"/>
        <d v="2024-12-12T00:00:00"/>
        <d v="2024-12-14T00:00:00"/>
        <d v="2024-12-20T00:00:00"/>
        <d v="2024-12-21T00:00:00"/>
        <d v="2024-12-24T00:00:00"/>
        <d v="2024-12-25T00:00:00"/>
        <d v="2024-12-30T00:00:00"/>
        <d v="2025-01-01T00:00:00"/>
        <d v="2025-01-02T00:00:00"/>
        <d v="2025-01-03T00:00:00"/>
        <d v="2025-01-06T00:00:00"/>
        <d v="2025-01-10T00:00:00"/>
        <d v="2025-01-12T00:00:00"/>
        <d v="2025-01-13T00:00:00"/>
        <d v="2025-01-16T00:00:00"/>
        <d v="2025-01-17T00:00:00"/>
        <d v="2025-01-20T00:00:00"/>
        <d v="2025-01-21T00:00:00"/>
        <d v="2025-01-27T00:00:00"/>
        <d v="2025-02-02T00:00:00"/>
        <d v="2025-02-04T00:00:00"/>
        <d v="2025-02-05T00:00:00"/>
        <d v="2025-02-07T00:00:00"/>
        <d v="2025-02-10T00:00:00"/>
        <d v="2025-02-15T00:00:00"/>
        <d v="2025-02-17T00:00:00"/>
        <d v="2025-02-19T00:00:00"/>
        <d v="2025-02-20T00:00:00"/>
        <d v="2025-02-21T00:00:00"/>
        <d v="2025-02-24T00:00:00"/>
        <d v="2025-02-25T00:00:00"/>
        <d v="2025-02-27T00:00:00"/>
        <d v="2025-03-01T00:00:00"/>
        <d v="2025-03-02T00:00:00"/>
        <d v="2025-03-05T00:00:00"/>
        <d v="2025-03-08T00:00:00"/>
        <d v="2025-03-09T00:00:00"/>
        <d v="2025-03-10T00:00:00"/>
        <d v="2025-03-11T00:00:00"/>
        <d v="2025-03-17T00:00:00"/>
        <d v="2025-03-18T00:00:00"/>
        <d v="2025-03-20T00:00:00"/>
        <d v="2025-03-22T00:00:00"/>
        <d v="2025-03-25T00:00:00"/>
        <d v="2025-03-26T00:00:00"/>
        <d v="2025-03-27T00:00:00"/>
        <d v="2025-03-29T00:00:00"/>
        <d v="2025-03-30T00:00:00"/>
        <d v="2025-04-02T00:00:00"/>
        <d v="2025-04-05T00:00:00"/>
        <d v="2025-04-07T00:00:00"/>
      </sharedItems>
      <fieldGroup par="15"/>
    </cacheField>
    <cacheField name="Profit" numFmtId="2">
      <sharedItems containsSemiMixedTypes="0" containsString="0" containsNumber="1" minValue="64.63" maxValue="769.46"/>
    </cacheField>
    <cacheField name="D_Type" numFmtId="0">
      <sharedItems count="4">
        <s v="High Discount"/>
        <s v="No Discount"/>
        <s v="Medium Discount"/>
        <s v="Low Discount"/>
      </sharedItems>
    </cacheField>
    <cacheField name="Timestamp" numFmtId="22">
      <sharedItems containsSemiMixedTypes="0" containsNonDate="0" containsDate="1" containsString="0" minDate="2026-02-28T13:38:09" maxDate="2026-02-28T13:38:09"/>
    </cacheField>
    <cacheField name="High_Sales" numFmtId="0">
      <sharedItems/>
    </cacheField>
    <cacheField name="Profit Margin" numFmtId="10">
      <sharedItems containsSemiMixedTypes="0" containsString="0" containsNumber="1" minValue="0.19999641326375064" maxValue="0.50000554206985226"/>
    </cacheField>
    <cacheField name="Months (Order_Date)" numFmtId="0" databaseField="0">
      <fieldGroup base="7">
        <rangePr groupBy="months" startDate="2024-04-10T00:00:00" endDate="2025-04-08T00:00:00"/>
        <groupItems count="14">
          <s v="&lt;10-04-2024"/>
          <s v="Jan"/>
          <s v="Feb"/>
          <s v="Mar"/>
          <s v="Apr"/>
          <s v="May"/>
          <s v="Jun"/>
          <s v="Jul"/>
          <s v="Aug"/>
          <s v="Sep"/>
          <s v="Oct"/>
          <s v="Nov"/>
          <s v="Dec"/>
          <s v="&gt;08-04-2025"/>
        </groupItems>
      </fieldGroup>
    </cacheField>
    <cacheField name="Quarters (Order_Date)" numFmtId="0" databaseField="0">
      <fieldGroup base="7">
        <rangePr groupBy="quarters" startDate="2024-04-10T00:00:00" endDate="2025-04-08T00:00:00"/>
        <groupItems count="6">
          <s v="&lt;10-04-2024"/>
          <s v="Qtr1"/>
          <s v="Qtr2"/>
          <s v="Qtr3"/>
          <s v="Qtr4"/>
          <s v="&gt;08-04-2025"/>
        </groupItems>
      </fieldGroup>
    </cacheField>
    <cacheField name="Years (Order_Date)" numFmtId="0" databaseField="0">
      <fieldGroup base="7">
        <rangePr groupBy="years" startDate="2024-04-10T00:00:00" endDate="2025-04-08T00:00:00"/>
        <groupItems count="4">
          <s v="&lt;10-04-2024"/>
          <s v="2024"/>
          <s v="2025"/>
          <s v="&gt;08-04-2025"/>
        </groupItems>
      </fieldGroup>
    </cacheField>
  </cacheFields>
  <extLst>
    <ext xmlns:x14="http://schemas.microsoft.com/office/spreadsheetml/2009/9/main" uri="{725AE2AE-9491-48be-B2B4-4EB974FC3084}">
      <x14:pivotCacheDefinition pivotCacheId="188507430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sinojia" refreshedDate="46081.593480208336" backgroundQuery="1" createdVersion="8" refreshedVersion="8" minRefreshableVersion="3" recordCount="0" supportSubquery="1" supportAdvancedDrill="1" xr:uid="{5CF59703-9896-4AD2-AF18-1EF46D192CF9}">
  <cacheSource type="external" connectionId="1"/>
  <cacheFields count="4">
    <cacheField name="[Measures].[Sum of Sales]" caption="Sum of Sales" numFmtId="0" hierarchy="16" level="32767"/>
    <cacheField name="[Table1].[Product_Category].[Product_Category]" caption="Product_Category" numFmtId="0" hierarchy="3" level="1">
      <sharedItems count="5">
        <s v="Books"/>
        <s v="Clothing"/>
        <s v="Electronics"/>
        <s v="Furniture"/>
        <s v="Office Supplies"/>
      </sharedItems>
    </cacheField>
    <cacheField name="[Measures].[Sum of Profit]" caption="Sum of Profit" numFmtId="0" hierarchy="15" level="32767"/>
    <cacheField name="[Table1].[Region].[Region]" caption="Region" numFmtId="0" hierarchy="2" level="1">
      <sharedItems containsSemiMixedTypes="0" containsNonDate="0" containsString="0"/>
    </cacheField>
  </cacheFields>
  <cacheHierarchies count="21">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1"/>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Order_Date]" caption="Order_Date" attribute="1" time="1" defaultMemberUniqueName="[Table1].[Order_Date].[All]" allUniqueName="[Table1].[Order_Date].[All]" dimensionUniqueName="[Table1]" displayFolder="" count="2" memberValueDatatype="7" unbalanced="0"/>
    <cacheHierarchy uniqueName="[Table1].[Profit]" caption="Profit" attribute="1" defaultMemberUniqueName="[Table1].[Profit].[All]" allUniqueName="[Table1].[Profit].[All]" dimensionUniqueName="[Table1]" displayFolder="" count="0" memberValueDatatype="5" unbalanced="0"/>
    <cacheHierarchy uniqueName="[Table1].[D_Type]" caption="D_Type" attribute="1" defaultMemberUniqueName="[Table1].[D_Type].[All]" allUniqueName="[Table1].[D_Type].[All]" dimensionUniqueName="[Table1]" displayFolder="" count="0" memberValueDatatype="130" unbalanced="0"/>
    <cacheHierarchy uniqueName="[Table1].[Timestamp]" caption="Timestamp" attribute="1" time="1" defaultMemberUniqueName="[Table1].[Timestamp].[All]" allUniqueName="[Table1].[Timestamp].[All]" dimensionUniqueName="[Table1]" displayFolder="" count="0" memberValueDatatype="7" unbalanced="0"/>
    <cacheHierarchy uniqueName="[Table1].[High_Sales]" caption="High_Sales" attribute="1" defaultMemberUniqueName="[Table1].[High_Sales].[All]" allUniqueName="[Table1].[High_Sales].[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rjun sinojia" refreshedDate="46081.600546180554" backgroundQuery="1" createdVersion="8" refreshedVersion="8" minRefreshableVersion="3" recordCount="0" supportSubquery="1" supportAdvancedDrill="1" xr:uid="{E03A10F9-CBD0-4106-A0AB-3DBC53461AD9}">
  <cacheSource type="external" connectionId="1"/>
  <cacheFields count="4">
    <cacheField name="[Table1].[Product_Category].[Product_Category]" caption="Product_Category" numFmtId="0" hierarchy="3" level="1">
      <sharedItems count="5">
        <s v="Books"/>
        <s v="Clothing"/>
        <s v="Electronics"/>
        <s v="Furniture"/>
        <s v="Office Supplies"/>
      </sharedItems>
    </cacheField>
    <cacheField name="[Measures].[Sum of Profit]" caption="Sum of Profit" numFmtId="0" hierarchy="15" level="32767"/>
    <cacheField name="[Measures].[Sum of Sales]" caption="Sum of Sales" numFmtId="0" hierarchy="16" level="32767"/>
    <cacheField name="[Table1].[Region].[Region]" caption="Region" numFmtId="0" hierarchy="2" level="1">
      <sharedItems containsSemiMixedTypes="0" containsNonDate="0" containsString="0"/>
    </cacheField>
  </cacheFields>
  <cacheHierarchies count="21">
    <cacheHierarchy uniqueName="[Table1].[Customer_ID]" caption="Customer_ID" attribute="1" defaultMemberUniqueName="[Table1].[Customer_ID].[All]" allUniqueName="[Table1].[Customer_ID].[All]" dimensionUniqueName="[Table1]" displayFolder="" count="0" memberValueDatatype="13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Order_Date]" caption="Order_Date" attribute="1" time="1" defaultMemberUniqueName="[Table1].[Order_Date].[All]" allUniqueName="[Table1].[Order_Date].[All]" dimensionUniqueName="[Table1]" displayFolder="" count="2" memberValueDatatype="7" unbalanced="0"/>
    <cacheHierarchy uniqueName="[Table1].[Profit]" caption="Profit" attribute="1" defaultMemberUniqueName="[Table1].[Profit].[All]" allUniqueName="[Table1].[Profit].[All]" dimensionUniqueName="[Table1]" displayFolder="" count="0" memberValueDatatype="5" unbalanced="0"/>
    <cacheHierarchy uniqueName="[Table1].[D_Type]" caption="D_Type" attribute="1" defaultMemberUniqueName="[Table1].[D_Type].[All]" allUniqueName="[Table1].[D_Type].[All]" dimensionUniqueName="[Table1]" displayFolder="" count="0" memberValueDatatype="130" unbalanced="0"/>
    <cacheHierarchy uniqueName="[Table1].[Timestamp]" caption="Timestamp" attribute="1" time="1" defaultMemberUniqueName="[Table1].[Timestamp].[All]" allUniqueName="[Table1].[Timestamp].[All]" dimensionUniqueName="[Table1]" displayFolder="" count="0" memberValueDatatype="7" unbalanced="0"/>
    <cacheHierarchy uniqueName="[Table1].[High_Sales]" caption="High_Sales" attribute="1" defaultMemberUniqueName="[Table1].[High_Sales].[All]" allUniqueName="[Table1].[High_Sales].[All]" dimensionUniqueName="[Table1]" displayFolder="" count="0" memberValueDatatype="130" unbalanced="0"/>
    <cacheHierarchy uniqueName="[Table1].[Profit Margin]" caption="Profit Margin" attribute="1" defaultMemberUniqueName="[Table1].[Profit Margin].[All]" allUniqueName="[Table1].[Profit Margin].[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Sales]" caption="Sum of Sales"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Discount]" caption="Sum of Discount" measure="1" displayFolder="" measureGroup="Table1" count="0" hidden="1">
      <extLst>
        <ext xmlns:x15="http://schemas.microsoft.com/office/spreadsheetml/2010/11/main" uri="{B97F6D7D-B522-45F9-BDA1-12C45D357490}">
          <x15:cacheHierarchy aggregatedColumn="6"/>
        </ext>
      </extLst>
    </cacheHierarchy>
    <cacheHierarchy uniqueName="[Measures].[Average of Discount]" caption="Average of Discount" measure="1" displayFolder="" measureGroup="Table1" count="0" hidden="1">
      <extLst>
        <ext xmlns:x15="http://schemas.microsoft.com/office/spreadsheetml/2010/11/main" uri="{B97F6D7D-B522-45F9-BDA1-12C45D357490}">
          <x15:cacheHierarchy aggregatedColumn="6"/>
        </ext>
      </extLst>
    </cacheHierarchy>
    <cacheHierarchy uniqueName="[Measures].[Count of Product_Category]" caption="Count of Product_Category" measure="1" displayFolder="" measureGroup="Table1" count="0" hidden="1">
      <extLst>
        <ext xmlns:x15="http://schemas.microsoft.com/office/spreadsheetml/2010/11/main" uri="{B97F6D7D-B522-45F9-BDA1-12C45D357490}">
          <x15:cacheHierarchy aggregatedColumn="3"/>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s v="Books"/>
    <n v="1036.0899999999999"/>
    <n v="4"/>
    <n v="0.2"/>
    <x v="0"/>
    <n v="331.55"/>
    <s v="High Discount"/>
    <d v="2026-02-27T19:38:54"/>
    <x v="0"/>
  </r>
  <r>
    <s v="CUST012"/>
    <s v="Robert Anderson"/>
    <s v="West"/>
    <s v="Clothing"/>
    <n v="1101.28"/>
    <n v="3"/>
    <n v="0.2"/>
    <x v="1"/>
    <n v="440.51"/>
    <s v="High Discount"/>
    <d v="2026-02-27T19:38:54"/>
    <x v="0"/>
  </r>
  <r>
    <s v="CUST017"/>
    <s v="James Taylor"/>
    <s v="East"/>
    <s v="Books"/>
    <n v="713.34"/>
    <n v="17"/>
    <n v="0"/>
    <x v="2"/>
    <n v="285.33999999999997"/>
    <s v="No Discount"/>
    <d v="2026-02-27T19:38:54"/>
    <x v="1"/>
  </r>
  <r>
    <s v="CUST005"/>
    <s v="Robert Anderson"/>
    <s v="South"/>
    <s v="Electronics"/>
    <n v="760.93"/>
    <n v="4"/>
    <n v="0.15"/>
    <x v="2"/>
    <n v="161.69999999999999"/>
    <s v="Medium Discount"/>
    <d v="2026-02-27T19:38:54"/>
    <x v="1"/>
  </r>
  <r>
    <s v="CUST030"/>
    <s v="James Wilson"/>
    <s v="North"/>
    <s v="Books"/>
    <n v="847"/>
    <n v="12"/>
    <n v="0.2"/>
    <x v="3"/>
    <n v="271.04000000000002"/>
    <s v="High Discount"/>
    <d v="2026-02-27T19:38:54"/>
    <x v="1"/>
  </r>
  <r>
    <s v="CUST007"/>
    <s v="Michael Anderson"/>
    <s v="North"/>
    <s v="Furniture"/>
    <n v="965.64"/>
    <n v="8"/>
    <n v="0.1"/>
    <x v="4"/>
    <n v="304.18"/>
    <s v="Low Discount"/>
    <d v="2026-02-27T19:38:54"/>
    <x v="1"/>
  </r>
  <r>
    <s v="CUST001"/>
    <s v="Linda Wilson"/>
    <s v="West"/>
    <s v="Electronics"/>
    <n v="1317.53"/>
    <n v="12"/>
    <n v="0.05"/>
    <x v="4"/>
    <n v="312.91000000000003"/>
    <s v="Low Discount"/>
    <d v="2026-02-27T19:38:54"/>
    <x v="0"/>
  </r>
  <r>
    <s v="CUST026"/>
    <s v="Mary Davis"/>
    <s v="East"/>
    <s v="Furniture"/>
    <n v="1074.47"/>
    <n v="6"/>
    <n v="0.2"/>
    <x v="5"/>
    <n v="300.85000000000002"/>
    <s v="High Discount"/>
    <d v="2026-02-27T19:38:54"/>
    <x v="0"/>
  </r>
  <r>
    <s v="CUST009"/>
    <s v="Linda Jackson"/>
    <s v="Central"/>
    <s v="Books"/>
    <n v="501.54"/>
    <n v="11"/>
    <n v="0.05"/>
    <x v="5"/>
    <n v="190.59"/>
    <s v="Low Discount"/>
    <d v="2026-02-27T19:38:54"/>
    <x v="1"/>
  </r>
  <r>
    <s v="CUST010"/>
    <s v="David Thomas"/>
    <s v="Central"/>
    <s v="Clothing"/>
    <n v="737.31"/>
    <n v="2"/>
    <n v="0.05"/>
    <x v="5"/>
    <n v="350.22"/>
    <s v="Low Discount"/>
    <d v="2026-02-27T19:38:54"/>
    <x v="1"/>
  </r>
  <r>
    <s v="CUST014"/>
    <s v="Emma Davis"/>
    <s v="West"/>
    <s v="Office Supplies"/>
    <n v="1572.82"/>
    <n v="6"/>
    <n v="0.05"/>
    <x v="6"/>
    <n v="672.38"/>
    <s v="Low Discount"/>
    <d v="2026-02-27T19:38:54"/>
    <x v="0"/>
  </r>
  <r>
    <s v="CUST014"/>
    <s v="David Thomas"/>
    <s v="Central"/>
    <s v="Books"/>
    <n v="1343.13"/>
    <n v="14"/>
    <n v="0.15"/>
    <x v="7"/>
    <n v="456.66"/>
    <s v="Medium Discount"/>
    <d v="2026-02-27T19:38:54"/>
    <x v="0"/>
  </r>
  <r>
    <s v="CUST007"/>
    <s v="Michael Anderson"/>
    <s v="Central"/>
    <s v="Books"/>
    <n v="1191.58"/>
    <n v="14"/>
    <n v="0.05"/>
    <x v="8"/>
    <n v="452.8"/>
    <s v="Low Discount"/>
    <d v="2026-02-27T19:38:54"/>
    <x v="0"/>
  </r>
  <r>
    <s v="CUST023"/>
    <s v="Robert Anderson"/>
    <s v="West"/>
    <s v="Furniture"/>
    <n v="822.28"/>
    <n v="7"/>
    <n v="0.05"/>
    <x v="8"/>
    <n v="273.41000000000003"/>
    <s v="Low Discount"/>
    <d v="2026-02-27T19:38:54"/>
    <x v="1"/>
  </r>
  <r>
    <s v="CUST029"/>
    <s v="David Smith"/>
    <s v="North"/>
    <s v="Furniture"/>
    <n v="521.66999999999996"/>
    <n v="15"/>
    <n v="0.15"/>
    <x v="9"/>
    <n v="155.19999999999999"/>
    <s v="Medium Discount"/>
    <d v="2026-02-27T19:38:54"/>
    <x v="1"/>
  </r>
  <r>
    <s v="CUST005"/>
    <s v="Sarah Anderson"/>
    <s v="South"/>
    <s v="Electronics"/>
    <n v="1502.93"/>
    <n v="14"/>
    <n v="0.2"/>
    <x v="10"/>
    <n v="300.58999999999997"/>
    <s v="High Discount"/>
    <d v="2026-02-27T19:38:54"/>
    <x v="0"/>
  </r>
  <r>
    <s v="CUST008"/>
    <s v="Robert Anderson"/>
    <s v="South"/>
    <s v="Books"/>
    <n v="877.58"/>
    <n v="10"/>
    <n v="0.15"/>
    <x v="11"/>
    <n v="298.38"/>
    <s v="Medium Discount"/>
    <d v="2026-02-27T19:38:54"/>
    <x v="1"/>
  </r>
  <r>
    <s v="CUST001"/>
    <s v="Lisa Thomas"/>
    <s v="West"/>
    <s v="Books"/>
    <n v="636.70000000000005"/>
    <n v="4"/>
    <n v="0.2"/>
    <x v="11"/>
    <n v="203.74"/>
    <s v="High Discount"/>
    <d v="2026-02-27T19:38:54"/>
    <x v="1"/>
  </r>
  <r>
    <s v="CUST006"/>
    <s v="Mary Jackson"/>
    <s v="West"/>
    <s v="Books"/>
    <n v="1506.14"/>
    <n v="13"/>
    <n v="0.2"/>
    <x v="12"/>
    <n v="481.96"/>
    <s v="High Discount"/>
    <d v="2026-02-27T19:38:54"/>
    <x v="0"/>
  </r>
  <r>
    <s v="CUST026"/>
    <s v="Mary Davis"/>
    <s v="Central"/>
    <s v="Electronics"/>
    <n v="645.02"/>
    <n v="4"/>
    <n v="0"/>
    <x v="13"/>
    <n v="161.26"/>
    <s v="No Discount"/>
    <d v="2026-02-27T19:38:54"/>
    <x v="1"/>
  </r>
  <r>
    <s v="CUST007"/>
    <s v="Lisa Davis"/>
    <s v="South"/>
    <s v="Clothing"/>
    <n v="953.3"/>
    <n v="11"/>
    <n v="0"/>
    <x v="14"/>
    <n v="476.65"/>
    <s v="No Discount"/>
    <d v="2026-02-27T19:38:54"/>
    <x v="1"/>
  </r>
  <r>
    <s v="CUST022"/>
    <s v="Robert Anderson"/>
    <s v="North"/>
    <s v="Electronics"/>
    <n v="388.56"/>
    <n v="14"/>
    <n v="0.15"/>
    <x v="15"/>
    <n v="82.57"/>
    <s v="Medium Discount"/>
    <d v="2026-02-27T19:38:54"/>
    <x v="1"/>
  </r>
  <r>
    <s v="CUST019"/>
    <s v="Mary Davis"/>
    <s v="West"/>
    <s v="Books"/>
    <n v="743.17"/>
    <n v="9"/>
    <n v="0"/>
    <x v="15"/>
    <n v="297.27"/>
    <s v="No Discount"/>
    <d v="2026-02-27T19:38:54"/>
    <x v="1"/>
  </r>
  <r>
    <s v="CUST023"/>
    <s v="Mary Davis"/>
    <s v="Central"/>
    <s v="Electronics"/>
    <n v="706.37"/>
    <n v="6"/>
    <n v="0"/>
    <x v="15"/>
    <n v="176.59"/>
    <s v="No Discount"/>
    <d v="2026-02-27T19:38:54"/>
    <x v="1"/>
  </r>
  <r>
    <s v="CUST012"/>
    <s v="Mary Davis"/>
    <s v="Central"/>
    <s v="Office Supplies"/>
    <n v="925.31"/>
    <n v="8"/>
    <n v="0.1"/>
    <x v="16"/>
    <n v="374.75"/>
    <s v="Low Discount"/>
    <d v="2026-02-27T19:38:54"/>
    <x v="1"/>
  </r>
  <r>
    <s v="CUST010"/>
    <s v="Linda Brown"/>
    <s v="South"/>
    <s v="Electronics"/>
    <n v="1173.1199999999999"/>
    <n v="18"/>
    <n v="0"/>
    <x v="16"/>
    <n v="293.27999999999997"/>
    <s v="No Discount"/>
    <d v="2026-02-27T19:38:54"/>
    <x v="0"/>
  </r>
  <r>
    <s v="CUST030"/>
    <s v="John Brown"/>
    <s v="North"/>
    <s v="Furniture"/>
    <n v="675.54"/>
    <n v="17"/>
    <n v="0"/>
    <x v="17"/>
    <n v="236.44"/>
    <s v="No Discount"/>
    <d v="2026-02-27T19:38:54"/>
    <x v="1"/>
  </r>
  <r>
    <s v="CUST007"/>
    <s v="Robert Anderson"/>
    <s v="Central"/>
    <s v="Books"/>
    <n v="939.09"/>
    <n v="2"/>
    <n v="0.05"/>
    <x v="18"/>
    <n v="356.85"/>
    <s v="Low Discount"/>
    <d v="2026-02-27T19:38:54"/>
    <x v="1"/>
  </r>
  <r>
    <s v="CUST028"/>
    <s v="Linda Taylor"/>
    <s v="East"/>
    <s v="Office Supplies"/>
    <n v="983.34"/>
    <n v="19"/>
    <n v="0.1"/>
    <x v="19"/>
    <n v="398.25"/>
    <s v="Low Discount"/>
    <d v="2026-02-27T19:38:54"/>
    <x v="1"/>
  </r>
  <r>
    <s v="CUST028"/>
    <s v="James Wilson"/>
    <s v="South"/>
    <s v="Electronics"/>
    <n v="801.21"/>
    <n v="3"/>
    <n v="0.2"/>
    <x v="19"/>
    <n v="160.24"/>
    <s v="High Discount"/>
    <d v="2026-02-27T19:38:54"/>
    <x v="1"/>
  </r>
  <r>
    <s v="CUST025"/>
    <s v="David Brown"/>
    <s v="North"/>
    <s v="Electronics"/>
    <n v="1450.71"/>
    <n v="5"/>
    <n v="0.1"/>
    <x v="20"/>
    <n v="326.41000000000003"/>
    <s v="Low Discount"/>
    <d v="2026-02-27T19:38:54"/>
    <x v="0"/>
  </r>
  <r>
    <s v="CUST022"/>
    <s v="David Davis"/>
    <s v="Central"/>
    <s v="Books"/>
    <n v="1023.21"/>
    <n v="18"/>
    <n v="0.05"/>
    <x v="21"/>
    <n v="388.82"/>
    <s v="Low Discount"/>
    <d v="2026-02-27T19:38:54"/>
    <x v="0"/>
  </r>
  <r>
    <s v="CUST001"/>
    <s v="Mary Jackson"/>
    <s v="West"/>
    <s v="Furniture"/>
    <n v="853.72"/>
    <n v="5"/>
    <n v="0.15"/>
    <x v="21"/>
    <n v="253.98"/>
    <s v="Medium Discount"/>
    <d v="2026-02-27T19:38:54"/>
    <x v="1"/>
  </r>
  <r>
    <s v="CUST021"/>
    <s v="Sarah Anderson"/>
    <s v="South"/>
    <s v="Electronics"/>
    <n v="967.89"/>
    <n v="10"/>
    <n v="0.1"/>
    <x v="22"/>
    <n v="217.78"/>
    <s v="Low Discount"/>
    <d v="2026-02-27T19:38:54"/>
    <x v="1"/>
  </r>
  <r>
    <s v="CUST015"/>
    <s v="Linda Taylor"/>
    <s v="North"/>
    <s v="Office Supplies"/>
    <n v="1200.9000000000001"/>
    <n v="14"/>
    <n v="0.05"/>
    <x v="22"/>
    <n v="513.38"/>
    <s v="Low Discount"/>
    <d v="2026-02-27T19:38:54"/>
    <x v="0"/>
  </r>
  <r>
    <s v="CUST012"/>
    <s v="Michael Anderson"/>
    <s v="West"/>
    <s v="Books"/>
    <n v="472.38"/>
    <n v="12"/>
    <n v="0.2"/>
    <x v="22"/>
    <n v="151.16"/>
    <s v="High Discount"/>
    <d v="2026-02-27T19:38:54"/>
    <x v="1"/>
  </r>
  <r>
    <s v="CUST019"/>
    <s v="David Brown"/>
    <s v="East"/>
    <s v="Office Supplies"/>
    <n v="840.92"/>
    <n v="9"/>
    <n v="0.05"/>
    <x v="22"/>
    <n v="359.49"/>
    <s v="Low Discount"/>
    <d v="2026-02-27T19:38:54"/>
    <x v="1"/>
  </r>
  <r>
    <s v="CUST028"/>
    <s v="Lisa Davis"/>
    <s v="Central"/>
    <s v="Furniture"/>
    <n v="1410.06"/>
    <n v="11"/>
    <n v="0.05"/>
    <x v="23"/>
    <n v="468.84"/>
    <s v="Low Discount"/>
    <d v="2026-02-27T19:38:54"/>
    <x v="0"/>
  </r>
  <r>
    <s v="CUST008"/>
    <s v="Mary Wilson"/>
    <s v="Central"/>
    <s v="Furniture"/>
    <n v="773.09"/>
    <n v="13"/>
    <n v="0.15"/>
    <x v="23"/>
    <n v="229.99"/>
    <s v="Medium Discount"/>
    <d v="2026-02-27T19:38:54"/>
    <x v="1"/>
  </r>
  <r>
    <s v="CUST016"/>
    <s v="Emma Wilson"/>
    <s v="East"/>
    <s v="Books"/>
    <n v="580.42999999999995"/>
    <n v="19"/>
    <n v="0.15"/>
    <x v="24"/>
    <n v="197.35"/>
    <s v="Medium Discount"/>
    <d v="2026-02-27T19:38:54"/>
    <x v="1"/>
  </r>
  <r>
    <s v="CUST005"/>
    <s v="David Smith"/>
    <s v="South"/>
    <s v="Books"/>
    <n v="1151.21"/>
    <n v="15"/>
    <n v="0.1"/>
    <x v="25"/>
    <n v="414.44"/>
    <s v="Low Discount"/>
    <d v="2026-02-27T19:38:54"/>
    <x v="0"/>
  </r>
  <r>
    <s v="CUST028"/>
    <s v="James Wilson"/>
    <s v="Central"/>
    <s v="Office Supplies"/>
    <n v="1025.98"/>
    <n v="5"/>
    <n v="0.2"/>
    <x v="26"/>
    <n v="369.35"/>
    <s v="High Discount"/>
    <d v="2026-02-27T19:38:54"/>
    <x v="0"/>
  </r>
  <r>
    <s v="CUST023"/>
    <s v="David Davis"/>
    <s v="East"/>
    <s v="Office Supplies"/>
    <n v="556.41999999999996"/>
    <n v="11"/>
    <n v="0.15"/>
    <x v="26"/>
    <n v="212.83"/>
    <s v="Medium Discount"/>
    <d v="2026-02-27T19:38:54"/>
    <x v="1"/>
  </r>
  <r>
    <s v="CUST021"/>
    <s v="James Wilson"/>
    <s v="Central"/>
    <s v="Books"/>
    <n v="840.85"/>
    <n v="19"/>
    <n v="0.1"/>
    <x v="27"/>
    <n v="302.70999999999998"/>
    <s v="Low Discount"/>
    <d v="2026-02-27T19:38:54"/>
    <x v="1"/>
  </r>
  <r>
    <s v="CUST026"/>
    <s v="Emma Wilson"/>
    <s v="North"/>
    <s v="Furniture"/>
    <n v="1227.25"/>
    <n v="12"/>
    <n v="0.15"/>
    <x v="27"/>
    <n v="365.11"/>
    <s v="Medium Discount"/>
    <d v="2026-02-27T19:38:54"/>
    <x v="0"/>
  </r>
  <r>
    <s v="CUST017"/>
    <s v="Linda Davis"/>
    <s v="Central"/>
    <s v="Electronics"/>
    <n v="856.7"/>
    <n v="2"/>
    <n v="0"/>
    <x v="28"/>
    <n v="214.18"/>
    <s v="No Discount"/>
    <d v="2026-02-27T19:38:54"/>
    <x v="1"/>
  </r>
  <r>
    <s v="CUST025"/>
    <s v="David Davis"/>
    <s v="Central"/>
    <s v="Office Supplies"/>
    <n v="1225.42"/>
    <n v="8"/>
    <n v="0.15"/>
    <x v="28"/>
    <n v="468.72"/>
    <s v="Medium Discount"/>
    <d v="2026-02-27T19:38:54"/>
    <x v="0"/>
  </r>
  <r>
    <s v="CUST011"/>
    <s v="Mary Davis"/>
    <s v="North"/>
    <s v="Office Supplies"/>
    <n v="1001.57"/>
    <n v="12"/>
    <n v="0"/>
    <x v="29"/>
    <n v="450.71"/>
    <s v="No Discount"/>
    <d v="2026-02-27T19:38:54"/>
    <x v="0"/>
  </r>
  <r>
    <s v="CUST021"/>
    <s v="Michael Anderson"/>
    <s v="East"/>
    <s v="Furniture"/>
    <n v="1186.8499999999999"/>
    <n v="19"/>
    <n v="0.2"/>
    <x v="30"/>
    <n v="332.32"/>
    <s v="High Discount"/>
    <d v="2026-02-27T19:38:54"/>
    <x v="0"/>
  </r>
  <r>
    <s v="CUST008"/>
    <s v="John Brown"/>
    <s v="South"/>
    <s v="Electronics"/>
    <n v="775.45"/>
    <n v="6"/>
    <n v="0.1"/>
    <x v="31"/>
    <n v="174.48"/>
    <s v="Low Discount"/>
    <d v="2026-02-27T19:38:54"/>
    <x v="1"/>
  </r>
  <r>
    <s v="CUST007"/>
    <s v="Linda Jackson"/>
    <s v="South"/>
    <s v="Electronics"/>
    <n v="1021.47"/>
    <n v="6"/>
    <n v="0.05"/>
    <x v="32"/>
    <n v="242.6"/>
    <s v="Low Discount"/>
    <d v="2026-02-27T19:38:54"/>
    <x v="0"/>
  </r>
  <r>
    <s v="CUST015"/>
    <s v="James Wilson"/>
    <s v="South"/>
    <s v="Clothing"/>
    <n v="1226.6199999999999"/>
    <n v="7"/>
    <n v="0.1"/>
    <x v="33"/>
    <n v="551.98"/>
    <s v="Low Discount"/>
    <d v="2026-02-27T19:38:54"/>
    <x v="0"/>
  </r>
  <r>
    <s v="CUST030"/>
    <s v="Sarah Davis"/>
    <s v="South"/>
    <s v="Furniture"/>
    <n v="1086.93"/>
    <n v="2"/>
    <n v="0"/>
    <x v="34"/>
    <n v="380.43"/>
    <s v="No Discount"/>
    <d v="2026-02-27T19:38:54"/>
    <x v="0"/>
  </r>
  <r>
    <s v="CUST002"/>
    <s v="Lisa Davis"/>
    <s v="West"/>
    <s v="Books"/>
    <n v="942.9"/>
    <n v="18"/>
    <n v="0.1"/>
    <x v="35"/>
    <n v="339.44"/>
    <s v="Low Discount"/>
    <d v="2026-02-27T19:38:54"/>
    <x v="1"/>
  </r>
  <r>
    <s v="CUST009"/>
    <s v="Emma Davis"/>
    <s v="North"/>
    <s v="Electronics"/>
    <n v="818.8"/>
    <n v="15"/>
    <n v="0.15"/>
    <x v="36"/>
    <n v="173.99"/>
    <s v="Medium Discount"/>
    <d v="2026-02-27T19:38:54"/>
    <x v="1"/>
  </r>
  <r>
    <s v="CUST005"/>
    <s v="Robert Anderson"/>
    <s v="South"/>
    <s v="Furniture"/>
    <n v="919.04"/>
    <n v="10"/>
    <n v="0.2"/>
    <x v="36"/>
    <n v="257.33"/>
    <s v="High Discount"/>
    <d v="2026-02-27T19:38:54"/>
    <x v="1"/>
  </r>
  <r>
    <s v="CUST030"/>
    <s v="Emma Taylor"/>
    <s v="Central"/>
    <s v="Books"/>
    <n v="973.26"/>
    <n v="11"/>
    <n v="0"/>
    <x v="37"/>
    <n v="389.3"/>
    <s v="No Discount"/>
    <d v="2026-02-27T19:38:54"/>
    <x v="1"/>
  </r>
  <r>
    <s v="CUST029"/>
    <s v="Sarah Davis"/>
    <s v="North"/>
    <s v="Electronics"/>
    <n v="741.61"/>
    <n v="1"/>
    <n v="0.2"/>
    <x v="38"/>
    <n v="148.32"/>
    <s v="High Discount"/>
    <d v="2026-02-27T19:38:54"/>
    <x v="1"/>
  </r>
  <r>
    <s v="CUST003"/>
    <s v="Emma Davis"/>
    <s v="North"/>
    <s v="Books"/>
    <n v="1248.82"/>
    <n v="2"/>
    <n v="0.1"/>
    <x v="39"/>
    <n v="449.58"/>
    <s v="Low Discount"/>
    <d v="2026-02-27T19:38:54"/>
    <x v="0"/>
  </r>
  <r>
    <s v="CUST012"/>
    <s v="Mary Wilson"/>
    <s v="West"/>
    <s v="Clothing"/>
    <n v="1360.36"/>
    <n v="17"/>
    <n v="0"/>
    <x v="39"/>
    <n v="680.18"/>
    <s v="No Discount"/>
    <d v="2026-02-27T19:38:54"/>
    <x v="0"/>
  </r>
  <r>
    <s v="CUST021"/>
    <s v="Mary Davis"/>
    <s v="East"/>
    <s v="Books"/>
    <n v="1383.3"/>
    <n v="8"/>
    <n v="0.1"/>
    <x v="40"/>
    <n v="497.99"/>
    <s v="Low Discount"/>
    <d v="2026-02-27T19:38:54"/>
    <x v="0"/>
  </r>
  <r>
    <s v="CUST010"/>
    <s v="David Brown"/>
    <s v="Central"/>
    <s v="Office Supplies"/>
    <n v="488.99"/>
    <n v="9"/>
    <n v="0"/>
    <x v="41"/>
    <n v="220.05"/>
    <s v="No Discount"/>
    <d v="2026-02-27T19:38:54"/>
    <x v="1"/>
  </r>
  <r>
    <s v="CUST026"/>
    <s v="Mary Davis"/>
    <s v="East"/>
    <s v="Furniture"/>
    <n v="933.71"/>
    <n v="17"/>
    <n v="0.1"/>
    <x v="42"/>
    <n v="294.12"/>
    <s v="Low Discount"/>
    <d v="2026-02-27T19:38:54"/>
    <x v="1"/>
  </r>
  <r>
    <s v="CUST003"/>
    <s v="James Davis"/>
    <s v="West"/>
    <s v="Electronics"/>
    <n v="1005.53"/>
    <n v="17"/>
    <n v="0.2"/>
    <x v="42"/>
    <n v="201.11"/>
    <s v="High Discount"/>
    <d v="2026-02-27T19:38:54"/>
    <x v="0"/>
  </r>
  <r>
    <s v="CUST029"/>
    <s v="Emma Wilson"/>
    <s v="South"/>
    <s v="Electronics"/>
    <n v="1100.0999999999999"/>
    <n v="5"/>
    <n v="0.05"/>
    <x v="43"/>
    <n v="261.27"/>
    <s v="Low Discount"/>
    <d v="2026-02-27T19:38:54"/>
    <x v="0"/>
  </r>
  <r>
    <s v="CUST003"/>
    <s v="James Wilson"/>
    <s v="North"/>
    <s v="Furniture"/>
    <n v="1034.7"/>
    <n v="15"/>
    <n v="0.15"/>
    <x v="44"/>
    <n v="307.82"/>
    <s v="Medium Discount"/>
    <d v="2026-02-27T19:38:54"/>
    <x v="0"/>
  </r>
  <r>
    <s v="CUST002"/>
    <s v="Mary Davis"/>
    <s v="South"/>
    <s v="Books"/>
    <n v="876.44"/>
    <n v="12"/>
    <n v="0.05"/>
    <x v="45"/>
    <n v="333.05"/>
    <s v="Low Discount"/>
    <d v="2026-02-27T19:38:54"/>
    <x v="1"/>
  </r>
  <r>
    <s v="CUST020"/>
    <s v="David Brown"/>
    <s v="West"/>
    <s v="Furniture"/>
    <n v="1371.34"/>
    <n v="5"/>
    <n v="0.05"/>
    <x v="45"/>
    <n v="455.97"/>
    <s v="Low Discount"/>
    <d v="2026-02-27T19:38:54"/>
    <x v="0"/>
  </r>
  <r>
    <s v="CUST021"/>
    <s v="Mary Jackson"/>
    <s v="North"/>
    <s v="Electronics"/>
    <n v="1020.26"/>
    <n v="11"/>
    <n v="0.05"/>
    <x v="46"/>
    <n v="242.31"/>
    <s v="Low Discount"/>
    <d v="2026-02-27T19:38:54"/>
    <x v="0"/>
  </r>
  <r>
    <s v="CUST008"/>
    <s v="James Davis"/>
    <s v="Central"/>
    <s v="Office Supplies"/>
    <n v="804.81"/>
    <n v="1"/>
    <n v="0.05"/>
    <x v="47"/>
    <n v="344.06"/>
    <s v="Low Discount"/>
    <d v="2026-02-27T19:38:54"/>
    <x v="1"/>
  </r>
  <r>
    <s v="CUST030"/>
    <s v="David Brown"/>
    <s v="Central"/>
    <s v="Electronics"/>
    <n v="608.66"/>
    <n v="1"/>
    <n v="0.05"/>
    <x v="48"/>
    <n v="144.56"/>
    <s v="Low Discount"/>
    <d v="2026-02-27T19:38:54"/>
    <x v="1"/>
  </r>
  <r>
    <s v="CUST020"/>
    <s v="Linda Moore"/>
    <s v="South"/>
    <s v="Office Supplies"/>
    <n v="981.2"/>
    <n v="19"/>
    <n v="0"/>
    <x v="49"/>
    <n v="441.54"/>
    <s v="No Discount"/>
    <d v="2026-02-27T19:38:54"/>
    <x v="1"/>
  </r>
  <r>
    <s v="CUST024"/>
    <s v="David Brown"/>
    <s v="East"/>
    <s v="Electronics"/>
    <n v="539.77"/>
    <n v="10"/>
    <n v="0.15"/>
    <x v="50"/>
    <n v="114.7"/>
    <s v="Medium Discount"/>
    <d v="2026-02-27T19:38:54"/>
    <x v="1"/>
  </r>
  <r>
    <s v="CUST012"/>
    <s v="David Anderson"/>
    <s v="South"/>
    <s v="Books"/>
    <n v="804.45"/>
    <n v="5"/>
    <n v="0.2"/>
    <x v="50"/>
    <n v="257.42"/>
    <s v="High Discount"/>
    <d v="2026-02-27T19:38:54"/>
    <x v="1"/>
  </r>
  <r>
    <s v="CUST024"/>
    <s v="Emma Davis"/>
    <s v="West"/>
    <s v="Electronics"/>
    <n v="1526.6"/>
    <n v="13"/>
    <n v="0.2"/>
    <x v="51"/>
    <n v="305.32"/>
    <s v="High Discount"/>
    <d v="2026-02-27T19:38:54"/>
    <x v="0"/>
  </r>
  <r>
    <s v="CUST012"/>
    <s v="Linda Wilson"/>
    <s v="West"/>
    <s v="Electronics"/>
    <n v="1215.26"/>
    <n v="5"/>
    <n v="0.15"/>
    <x v="52"/>
    <n v="258.24"/>
    <s v="Medium Discount"/>
    <d v="2026-02-27T19:38:54"/>
    <x v="0"/>
  </r>
  <r>
    <s v="CUST005"/>
    <s v="Linda Taylor"/>
    <s v="Central"/>
    <s v="Furniture"/>
    <n v="1261.3399999999999"/>
    <n v="3"/>
    <n v="0"/>
    <x v="53"/>
    <n v="441.47"/>
    <s v="No Discount"/>
    <d v="2026-02-27T19:38:54"/>
    <x v="0"/>
  </r>
  <r>
    <s v="CUST004"/>
    <s v="Lisa Thomas"/>
    <s v="North"/>
    <s v="Furniture"/>
    <n v="518.07000000000005"/>
    <n v="7"/>
    <n v="0.05"/>
    <x v="54"/>
    <n v="172.26"/>
    <s v="Low Discount"/>
    <d v="2026-02-27T19:38:54"/>
    <x v="1"/>
  </r>
  <r>
    <s v="CUST026"/>
    <s v="Linda Wilson"/>
    <s v="West"/>
    <s v="Office Supplies"/>
    <n v="1111.3399999999999"/>
    <n v="1"/>
    <n v="0"/>
    <x v="55"/>
    <n v="500.1"/>
    <s v="No Discount"/>
    <d v="2026-02-27T19:38:54"/>
    <x v="0"/>
  </r>
  <r>
    <s v="CUST030"/>
    <s v="Mary Davis"/>
    <s v="East"/>
    <s v="Clothing"/>
    <n v="1291.47"/>
    <n v="18"/>
    <n v="0.1"/>
    <x v="56"/>
    <n v="581.16"/>
    <s v="Low Discount"/>
    <d v="2026-02-27T19:38:54"/>
    <x v="0"/>
  </r>
  <r>
    <s v="CUST007"/>
    <s v="David Brown"/>
    <s v="North"/>
    <s v="Books"/>
    <n v="679.71"/>
    <n v="19"/>
    <n v="0"/>
    <x v="57"/>
    <n v="271.88"/>
    <s v="No Discount"/>
    <d v="2026-02-27T19:38:54"/>
    <x v="1"/>
  </r>
  <r>
    <s v="CUST020"/>
    <s v="Linda Jackson"/>
    <s v="East"/>
    <s v="Furniture"/>
    <n v="1143.69"/>
    <n v="17"/>
    <n v="0"/>
    <x v="57"/>
    <n v="400.29"/>
    <s v="No Discount"/>
    <d v="2026-02-27T19:38:54"/>
    <x v="0"/>
  </r>
  <r>
    <s v="CUST028"/>
    <s v="Linda Brown"/>
    <s v="Central"/>
    <s v="Electronics"/>
    <n v="790.08"/>
    <n v="7"/>
    <n v="0.1"/>
    <x v="58"/>
    <n v="177.77"/>
    <s v="Low Discount"/>
    <d v="2026-02-27T19:38:54"/>
    <x v="1"/>
  </r>
  <r>
    <s v="CUST005"/>
    <s v="Lisa Davis"/>
    <s v="Central"/>
    <s v="Books"/>
    <n v="1070.68"/>
    <n v="7"/>
    <n v="0.05"/>
    <x v="58"/>
    <n v="406.86"/>
    <s v="Low Discount"/>
    <d v="2026-02-27T19:38:54"/>
    <x v="0"/>
  </r>
  <r>
    <s v="CUST015"/>
    <s v="David Thomas"/>
    <s v="West"/>
    <s v="Clothing"/>
    <n v="1168.8900000000001"/>
    <n v="4"/>
    <n v="0.1"/>
    <x v="59"/>
    <n v="526"/>
    <s v="Low Discount"/>
    <d v="2026-02-27T19:38:54"/>
    <x v="0"/>
  </r>
  <r>
    <s v="CUST003"/>
    <s v="James Davis"/>
    <s v="South"/>
    <s v="Electronics"/>
    <n v="1335.87"/>
    <n v="17"/>
    <n v="0"/>
    <x v="59"/>
    <n v="333.97"/>
    <s v="No Discount"/>
    <d v="2026-02-27T19:38:54"/>
    <x v="0"/>
  </r>
  <r>
    <s v="CUST023"/>
    <s v="David Brown"/>
    <s v="East"/>
    <s v="Furniture"/>
    <n v="873.7"/>
    <n v="9"/>
    <n v="0"/>
    <x v="60"/>
    <n v="305.8"/>
    <s v="No Discount"/>
    <d v="2026-02-27T19:38:54"/>
    <x v="1"/>
  </r>
  <r>
    <s v="CUST004"/>
    <s v="Sarah Davis"/>
    <s v="West"/>
    <s v="Office Supplies"/>
    <n v="1443.98"/>
    <n v="19"/>
    <n v="0"/>
    <x v="61"/>
    <n v="649.79"/>
    <s v="No Discount"/>
    <d v="2026-02-27T19:38:54"/>
    <x v="0"/>
  </r>
  <r>
    <s v="CUST023"/>
    <s v="James Wilson"/>
    <s v="East"/>
    <s v="Office Supplies"/>
    <n v="1154.33"/>
    <n v="11"/>
    <n v="0.15"/>
    <x v="62"/>
    <n v="441.53"/>
    <s v="Medium Discount"/>
    <d v="2026-02-27T19:38:54"/>
    <x v="0"/>
  </r>
  <r>
    <s v="CUST022"/>
    <s v="Linda Brown"/>
    <s v="South"/>
    <s v="Books"/>
    <n v="1264.49"/>
    <n v="16"/>
    <n v="0.05"/>
    <x v="62"/>
    <n v="480.51"/>
    <s v="Low Discount"/>
    <d v="2026-02-27T19:38:54"/>
    <x v="0"/>
  </r>
  <r>
    <s v="CUST007"/>
    <s v="Emma Taylor"/>
    <s v="West"/>
    <s v="Furniture"/>
    <n v="1101.55"/>
    <n v="4"/>
    <n v="0.1"/>
    <x v="63"/>
    <n v="346.99"/>
    <s v="Low Discount"/>
    <d v="2026-02-27T19:38:54"/>
    <x v="0"/>
  </r>
  <r>
    <s v="CUST013"/>
    <s v="Robert Anderson"/>
    <s v="South"/>
    <s v="Furniture"/>
    <n v="727.73"/>
    <n v="1"/>
    <n v="0.1"/>
    <x v="64"/>
    <n v="229.23"/>
    <s v="Low Discount"/>
    <d v="2026-02-27T19:38:54"/>
    <x v="1"/>
  </r>
  <r>
    <s v="CUST027"/>
    <s v="Emma Davis"/>
    <s v="East"/>
    <s v="Office Supplies"/>
    <n v="875.41"/>
    <n v="13"/>
    <n v="0.15"/>
    <x v="64"/>
    <n v="334.84"/>
    <s v="Medium Discount"/>
    <d v="2026-02-27T19:38:54"/>
    <x v="1"/>
  </r>
  <r>
    <s v="CUST003"/>
    <s v="James Wilson"/>
    <s v="West"/>
    <s v="Electronics"/>
    <n v="1158.94"/>
    <n v="19"/>
    <n v="0.2"/>
    <x v="65"/>
    <n v="231.79"/>
    <s v="High Discount"/>
    <d v="2026-02-27T19:38:54"/>
    <x v="0"/>
  </r>
  <r>
    <s v="CUST018"/>
    <s v="Mary Jackson"/>
    <s v="South"/>
    <s v="Books"/>
    <n v="966.3"/>
    <n v="2"/>
    <n v="0.15"/>
    <x v="66"/>
    <n v="328.54"/>
    <s v="Medium Discount"/>
    <d v="2026-02-27T19:38:54"/>
    <x v="1"/>
  </r>
  <r>
    <s v="CUST020"/>
    <s v="James Taylor"/>
    <s v="South"/>
    <s v="Books"/>
    <n v="917.48"/>
    <n v="6"/>
    <n v="0"/>
    <x v="67"/>
    <n v="366.99"/>
    <s v="No Discount"/>
    <d v="2026-02-27T19:38:54"/>
    <x v="1"/>
  </r>
  <r>
    <s v="CUST029"/>
    <s v="Emma Wilson"/>
    <s v="West"/>
    <s v="Furniture"/>
    <n v="1172.97"/>
    <n v="7"/>
    <n v="0.15"/>
    <x v="68"/>
    <n v="348.96"/>
    <s v="Medium Discount"/>
    <d v="2026-02-27T19:38:54"/>
    <x v="0"/>
  </r>
  <r>
    <s v="CUST021"/>
    <s v="James Wilson"/>
    <s v="North"/>
    <s v="Clothing"/>
    <n v="1205.82"/>
    <n v="11"/>
    <n v="0.1"/>
    <x v="68"/>
    <n v="542.62"/>
    <s v="Low Discount"/>
    <d v="2026-02-27T19:38:54"/>
    <x v="0"/>
  </r>
  <r>
    <s v="CUST017"/>
    <s v="Sarah Davis"/>
    <s v="West"/>
    <s v="Office Supplies"/>
    <n v="826.93"/>
    <n v="10"/>
    <n v="0.2"/>
    <x v="69"/>
    <n v="297.69"/>
    <s v="High Discount"/>
    <d v="2026-02-27T19:38:54"/>
    <x v="1"/>
  </r>
  <r>
    <s v="CUST003"/>
    <s v="James Wilson"/>
    <s v="Central"/>
    <s v="Clothing"/>
    <n v="902.19"/>
    <n v="12"/>
    <n v="0"/>
    <x v="69"/>
    <n v="451.1"/>
    <s v="No Discount"/>
    <d v="2026-02-27T19:38:54"/>
    <x v="1"/>
  </r>
  <r>
    <s v="CUST027"/>
    <s v="Emma Davis"/>
    <s v="North"/>
    <s v="Books"/>
    <n v="585.97"/>
    <n v="17"/>
    <n v="0.1"/>
    <x v="70"/>
    <n v="210.95"/>
    <s v="Low Discount"/>
    <d v="2026-02-27T19:38:54"/>
    <x v="1"/>
  </r>
  <r>
    <s v="CUST016"/>
    <s v="Michael Anderson"/>
    <s v="North"/>
    <s v="Clothing"/>
    <n v="990.19"/>
    <n v="8"/>
    <n v="0.1"/>
    <x v="70"/>
    <n v="445.59"/>
    <s v="Low Discount"/>
    <d v="2026-02-27T19:38:54"/>
    <x v="1"/>
  </r>
  <r>
    <s v="CUST008"/>
    <s v="David Davis"/>
    <s v="Central"/>
    <s v="Electronics"/>
    <n v="1014.09"/>
    <n v="13"/>
    <n v="0.2"/>
    <x v="71"/>
    <n v="202.82"/>
    <s v="High Discount"/>
    <d v="2026-02-27T19:38:54"/>
    <x v="0"/>
  </r>
  <r>
    <s v="CUST012"/>
    <s v="Lisa Davis"/>
    <s v="North"/>
    <s v="Electronics"/>
    <n v="925.29"/>
    <n v="17"/>
    <n v="0"/>
    <x v="72"/>
    <n v="231.32"/>
    <s v="No Discount"/>
    <d v="2026-02-27T19:38:54"/>
    <x v="1"/>
  </r>
  <r>
    <s v="CUST025"/>
    <s v="Mary Jackson"/>
    <s v="East"/>
    <s v="Furniture"/>
    <n v="1286.54"/>
    <n v="8"/>
    <n v="0"/>
    <x v="73"/>
    <n v="450.29"/>
    <s v="No Discount"/>
    <d v="2026-02-27T19:38:54"/>
    <x v="0"/>
  </r>
  <r>
    <s v="CUST014"/>
    <s v="Sarah Davis"/>
    <s v="South"/>
    <s v="Books"/>
    <n v="961.62"/>
    <n v="8"/>
    <n v="0.2"/>
    <x v="74"/>
    <n v="307.72000000000003"/>
    <s v="High Discount"/>
    <d v="2026-02-27T19:38:54"/>
    <x v="1"/>
  </r>
  <r>
    <s v="CUST008"/>
    <s v="James Wilson"/>
    <s v="East"/>
    <s v="Books"/>
    <n v="1081.1400000000001"/>
    <n v="19"/>
    <n v="0.15"/>
    <x v="74"/>
    <n v="367.59"/>
    <s v="Medium Discount"/>
    <d v="2026-02-27T19:38:54"/>
    <x v="0"/>
  </r>
  <r>
    <s v="CUST015"/>
    <s v="James Wilson"/>
    <s v="West"/>
    <s v="Clothing"/>
    <n v="1923.66"/>
    <n v="9"/>
    <n v="0.2"/>
    <x v="75"/>
    <n v="769.46"/>
    <s v="High Discount"/>
    <d v="2026-02-27T19:38:54"/>
    <x v="0"/>
  </r>
  <r>
    <s v="CUST025"/>
    <s v="Emma Taylor"/>
    <s v="Central"/>
    <s v="Clothing"/>
    <n v="728.71"/>
    <n v="14"/>
    <n v="0.1"/>
    <x v="76"/>
    <n v="327.92"/>
    <s v="Low Discount"/>
    <d v="2026-02-27T19:38:54"/>
    <x v="1"/>
  </r>
  <r>
    <s v="CUST019"/>
    <s v="Linda Jackson"/>
    <s v="Central"/>
    <s v="Clothing"/>
    <n v="1301.8900000000001"/>
    <n v="7"/>
    <n v="0.15"/>
    <x v="76"/>
    <n v="553.29999999999995"/>
    <s v="Medium Discount"/>
    <d v="2026-02-27T19:38:54"/>
    <x v="0"/>
  </r>
  <r>
    <s v="CUST024"/>
    <s v="Emma Taylor"/>
    <s v="East"/>
    <s v="Books"/>
    <n v="980.18"/>
    <n v="16"/>
    <n v="0.1"/>
    <x v="77"/>
    <n v="352.86"/>
    <s v="Low Discount"/>
    <d v="2026-02-27T19:38:54"/>
    <x v="1"/>
  </r>
  <r>
    <s v="CUST027"/>
    <s v="James Wilson"/>
    <s v="West"/>
    <s v="Clothing"/>
    <n v="697.57"/>
    <n v="17"/>
    <n v="0.1"/>
    <x v="78"/>
    <n v="313.91000000000003"/>
    <s v="Low Discount"/>
    <d v="2026-02-27T19:38:54"/>
    <x v="1"/>
  </r>
  <r>
    <s v="CUST006"/>
    <s v="David Anderson"/>
    <s v="West"/>
    <s v="Furniture"/>
    <n v="1193.6099999999999"/>
    <n v="1"/>
    <n v="0.15"/>
    <x v="78"/>
    <n v="355.1"/>
    <s v="Medium Discount"/>
    <d v="2026-02-27T19:38:54"/>
    <x v="0"/>
  </r>
  <r>
    <s v="CUST009"/>
    <s v="Emma Davis"/>
    <s v="South"/>
    <s v="Electronics"/>
    <n v="771.02"/>
    <n v="1"/>
    <n v="0"/>
    <x v="79"/>
    <n v="192.76"/>
    <s v="No Discount"/>
    <d v="2026-02-27T19:38:54"/>
    <x v="1"/>
  </r>
  <r>
    <s v="CUST003"/>
    <s v="Linda Moore"/>
    <s v="North"/>
    <s v="Clothing"/>
    <n v="661.09"/>
    <n v="1"/>
    <n v="0.2"/>
    <x v="80"/>
    <n v="264.44"/>
    <s v="High Discount"/>
    <d v="2026-02-27T19:38:54"/>
    <x v="1"/>
  </r>
  <r>
    <s v="CUST012"/>
    <s v="David Brown"/>
    <s v="West"/>
    <s v="Electronics"/>
    <n v="688.83"/>
    <n v="15"/>
    <n v="0"/>
    <x v="81"/>
    <n v="172.21"/>
    <s v="No Discount"/>
    <d v="2026-02-27T19:38:54"/>
    <x v="1"/>
  </r>
  <r>
    <s v="CUST013"/>
    <s v="Linda Wilson"/>
    <s v="Central"/>
    <s v="Books"/>
    <n v="1249.0999999999999"/>
    <n v="4"/>
    <n v="0.05"/>
    <x v="82"/>
    <n v="474.66"/>
    <s v="Low Discount"/>
    <d v="2026-02-27T19:38:54"/>
    <x v="0"/>
  </r>
  <r>
    <s v="CUST008"/>
    <s v="James Wilson"/>
    <s v="East"/>
    <s v="Office Supplies"/>
    <n v="1014.22"/>
    <n v="14"/>
    <n v="0.05"/>
    <x v="83"/>
    <n v="433.58"/>
    <s v="Low Discount"/>
    <d v="2026-02-27T19:38:54"/>
    <x v="0"/>
  </r>
  <r>
    <s v="CUST025"/>
    <s v="Lisa Davis"/>
    <s v="East"/>
    <s v="Books"/>
    <n v="1010.58"/>
    <n v="2"/>
    <n v="0.15"/>
    <x v="84"/>
    <n v="343.6"/>
    <s v="Medium Discount"/>
    <d v="2026-02-27T19:38:54"/>
    <x v="0"/>
  </r>
  <r>
    <s v="CUST026"/>
    <s v="Mary Wilson"/>
    <s v="North"/>
    <s v="Furniture"/>
    <n v="957.29"/>
    <n v="4"/>
    <n v="0.05"/>
    <x v="84"/>
    <n v="318.3"/>
    <s v="Low Discount"/>
    <d v="2026-02-27T19:38:54"/>
    <x v="1"/>
  </r>
  <r>
    <s v="CUST001"/>
    <s v="Lisa Thomas"/>
    <s v="North"/>
    <s v="Furniture"/>
    <n v="1077.92"/>
    <n v="3"/>
    <n v="0.05"/>
    <x v="85"/>
    <n v="358.41"/>
    <s v="Low Discount"/>
    <d v="2026-02-27T19:38:54"/>
    <x v="0"/>
  </r>
  <r>
    <s v="CUST028"/>
    <s v="Linda Brown"/>
    <s v="South"/>
    <s v="Clothing"/>
    <n v="1163.01"/>
    <n v="5"/>
    <n v="0"/>
    <x v="86"/>
    <n v="581.5"/>
    <s v="No Discount"/>
    <d v="2026-02-27T19:38:54"/>
    <x v="0"/>
  </r>
  <r>
    <s v="CUST025"/>
    <s v="Lisa Thomas"/>
    <s v="East"/>
    <s v="Office Supplies"/>
    <n v="1014.56"/>
    <n v="10"/>
    <n v="0.1"/>
    <x v="87"/>
    <n v="410.9"/>
    <s v="Low Discount"/>
    <d v="2026-02-27T19:38:54"/>
    <x v="0"/>
  </r>
  <r>
    <s v="CUST019"/>
    <s v="James Taylor"/>
    <s v="South"/>
    <s v="Electronics"/>
    <n v="718.04"/>
    <n v="14"/>
    <n v="0"/>
    <x v="88"/>
    <n v="179.51"/>
    <s v="No Discount"/>
    <d v="2026-02-27T19:38:54"/>
    <x v="1"/>
  </r>
  <r>
    <s v="CUST004"/>
    <s v="James Taylor"/>
    <s v="Central"/>
    <s v="Clothing"/>
    <n v="1277.8499999999999"/>
    <n v="18"/>
    <n v="0.2"/>
    <x v="88"/>
    <n v="511.14"/>
    <s v="High Discount"/>
    <d v="2026-02-27T19:38:54"/>
    <x v="0"/>
  </r>
  <r>
    <s v="CUST024"/>
    <s v="James Wilson"/>
    <s v="North"/>
    <s v="Electronics"/>
    <n v="706.73"/>
    <n v="1"/>
    <n v="0.15"/>
    <x v="88"/>
    <n v="150.18"/>
    <s v="Medium Discount"/>
    <d v="2026-02-27T19:38:54"/>
    <x v="1"/>
  </r>
  <r>
    <s v="CUST002"/>
    <s v="Linda Brown"/>
    <s v="East"/>
    <s v="Electronics"/>
    <n v="1410.59"/>
    <n v="15"/>
    <n v="0"/>
    <x v="89"/>
    <n v="352.65"/>
    <s v="No Discount"/>
    <d v="2026-02-27T19:38:54"/>
    <x v="0"/>
  </r>
  <r>
    <s v="CUST009"/>
    <s v="Emma Wilson"/>
    <s v="South"/>
    <s v="Furniture"/>
    <n v="1350.33"/>
    <n v="10"/>
    <n v="0"/>
    <x v="89"/>
    <n v="472.62"/>
    <s v="No Discount"/>
    <d v="2026-02-27T19:38:54"/>
    <x v="0"/>
  </r>
  <r>
    <s v="CUST029"/>
    <s v="Lisa Thomas"/>
    <s v="East"/>
    <s v="Electronics"/>
    <n v="919.18"/>
    <n v="4"/>
    <n v="0.15"/>
    <x v="89"/>
    <n v="195.33"/>
    <s v="Medium Discount"/>
    <d v="2026-02-27T19:38:54"/>
    <x v="1"/>
  </r>
  <r>
    <s v="CUST027"/>
    <s v="James Wilson"/>
    <s v="West"/>
    <s v="Electronics"/>
    <n v="258.51"/>
    <n v="19"/>
    <n v="0"/>
    <x v="90"/>
    <n v="64.63"/>
    <s v="No Discount"/>
    <d v="2026-02-27T19:38:54"/>
    <x v="1"/>
  </r>
  <r>
    <s v="CUST011"/>
    <s v="Emma Wilson"/>
    <s v="East"/>
    <s v="Books"/>
    <n v="1213.48"/>
    <n v="5"/>
    <n v="0.05"/>
    <x v="90"/>
    <n v="461.12"/>
    <s v="Low Discount"/>
    <d v="2026-02-27T19:38:54"/>
    <x v="0"/>
  </r>
  <r>
    <s v="CUST021"/>
    <s v="Emma Davis"/>
    <s v="Central"/>
    <s v="Books"/>
    <n v="1150.28"/>
    <n v="8"/>
    <n v="0.05"/>
    <x v="91"/>
    <n v="437.11"/>
    <s v="Low Discount"/>
    <d v="2026-02-27T19:38:54"/>
    <x v="0"/>
  </r>
  <r>
    <s v="CUST014"/>
    <s v="David Anderson"/>
    <s v="South"/>
    <s v="Furniture"/>
    <n v="853.86"/>
    <n v="8"/>
    <n v="0.1"/>
    <x v="91"/>
    <n v="268.97000000000003"/>
    <s v="Low Discount"/>
    <d v="2026-02-27T19:38:54"/>
    <x v="1"/>
  </r>
  <r>
    <s v="CUST018"/>
    <s v="Lisa Thomas"/>
    <s v="South"/>
    <s v="Electronics"/>
    <n v="1061.04"/>
    <n v="1"/>
    <n v="0"/>
    <x v="92"/>
    <n v="265.26"/>
    <s v="No Discount"/>
    <d v="2026-02-27T19:38:54"/>
    <x v="0"/>
  </r>
  <r>
    <s v="CUST001"/>
    <s v="Sarah Anderson"/>
    <s v="West"/>
    <s v="Electronics"/>
    <n v="894.55"/>
    <n v="19"/>
    <n v="0.2"/>
    <x v="93"/>
    <n v="178.91"/>
    <s v="High Discount"/>
    <d v="2026-02-27T19:38:54"/>
    <x v="1"/>
  </r>
  <r>
    <s v="CUST007"/>
    <s v="Emma Davis"/>
    <s v="North"/>
    <s v="Office Supplies"/>
    <n v="833.91"/>
    <n v="3"/>
    <n v="0.05"/>
    <x v="94"/>
    <n v="356.5"/>
    <s v="Low Discount"/>
    <d v="2026-02-27T19:38:54"/>
    <x v="1"/>
  </r>
  <r>
    <s v="CUST015"/>
    <s v="David Anderson"/>
    <s v="West"/>
    <s v="Furniture"/>
    <n v="820.19"/>
    <n v="4"/>
    <n v="0.2"/>
    <x v="95"/>
    <n v="229.65"/>
    <s v="High Discount"/>
    <d v="2026-02-27T19:38:54"/>
    <x v="1"/>
  </r>
  <r>
    <s v="CUST015"/>
    <s v="Emma Davis"/>
    <s v="Central"/>
    <s v="Electronics"/>
    <n v="511.74"/>
    <n v="8"/>
    <n v="0.05"/>
    <x v="96"/>
    <n v="121.54"/>
    <s v="Low Discount"/>
    <d v="2026-02-27T19:38:54"/>
    <x v="1"/>
  </r>
  <r>
    <s v="CUST002"/>
    <s v="Emma Wilson"/>
    <s v="South"/>
    <s v="Furniture"/>
    <n v="806.03"/>
    <n v="19"/>
    <n v="0.05"/>
    <x v="97"/>
    <n v="268"/>
    <s v="Low Discount"/>
    <d v="2026-02-27T19:38:54"/>
    <x v="1"/>
  </r>
  <r>
    <s v="CUST001"/>
    <s v="Michael Anderson"/>
    <s v="Central"/>
    <s v="Furniture"/>
    <n v="1432.47"/>
    <n v="16"/>
    <n v="0.15"/>
    <x v="98"/>
    <n v="426.16"/>
    <s v="Medium Discount"/>
    <d v="2026-02-27T19:38:54"/>
    <x v="0"/>
  </r>
  <r>
    <s v="CUST027"/>
    <s v="Linda Wilson"/>
    <s v="Central"/>
    <s v="Electronics"/>
    <n v="1488.58"/>
    <n v="10"/>
    <n v="0.15"/>
    <x v="98"/>
    <n v="316.32"/>
    <s v="Medium Discount"/>
    <d v="2026-02-27T19:38:54"/>
    <x v="0"/>
  </r>
  <r>
    <s v="CUST026"/>
    <s v="Emma Taylor"/>
    <s v="East"/>
    <s v="Books"/>
    <n v="1231.26"/>
    <n v="9"/>
    <n v="0"/>
    <x v="99"/>
    <n v="492.5"/>
    <s v="No Discount"/>
    <d v="2026-02-27T19:38:54"/>
    <x v="0"/>
  </r>
  <r>
    <s v="CUST026"/>
    <s v="Sarah Anderson"/>
    <s v="West"/>
    <s v="Electronics"/>
    <n v="1161.67"/>
    <n v="19"/>
    <n v="0.2"/>
    <x v="100"/>
    <n v="232.33"/>
    <s v="High Discount"/>
    <d v="2026-02-27T19:38:54"/>
    <x v="0"/>
  </r>
  <r>
    <s v="CUST022"/>
    <s v="Lisa Thomas"/>
    <s v="Central"/>
    <s v="Office Supplies"/>
    <n v="388.23"/>
    <n v="16"/>
    <n v="0.05"/>
    <x v="101"/>
    <n v="165.97"/>
    <s v="Low Discount"/>
    <d v="2026-02-27T19:38:54"/>
    <x v="1"/>
  </r>
  <r>
    <s v="CUST004"/>
    <s v="Mary Davis"/>
    <s v="North"/>
    <s v="Clothing"/>
    <n v="1589.42"/>
    <n v="6"/>
    <n v="0.15"/>
    <x v="102"/>
    <n v="675.5"/>
    <s v="Medium Discount"/>
    <d v="2026-02-27T19:38:54"/>
    <x v="0"/>
  </r>
  <r>
    <s v="CUST001"/>
    <s v="David Anderson"/>
    <s v="North"/>
    <s v="Clothing"/>
    <n v="336.66"/>
    <n v="13"/>
    <n v="0.2"/>
    <x v="102"/>
    <n v="134.66"/>
    <s v="High Discount"/>
    <d v="2026-02-27T19:38:54"/>
    <x v="1"/>
  </r>
  <r>
    <s v="CUST022"/>
    <s v="James Wilson"/>
    <s v="West"/>
    <s v="Books"/>
    <n v="1353.79"/>
    <n v="14"/>
    <n v="0.1"/>
    <x v="103"/>
    <n v="487.36"/>
    <s v="Low Discount"/>
    <d v="2026-02-27T19:38:54"/>
    <x v="0"/>
  </r>
  <r>
    <s v="CUST011"/>
    <s v="Linda Moore"/>
    <s v="Central"/>
    <s v="Clothing"/>
    <n v="662.61"/>
    <n v="11"/>
    <n v="0.05"/>
    <x v="104"/>
    <n v="314.74"/>
    <s v="Low Discount"/>
    <d v="2026-02-27T19:38:54"/>
    <x v="1"/>
  </r>
  <r>
    <s v="CUST028"/>
    <s v="Lisa Davis"/>
    <s v="North"/>
    <s v="Office Supplies"/>
    <n v="309.42"/>
    <n v="1"/>
    <n v="0.2"/>
    <x v="104"/>
    <n v="111.39"/>
    <s v="High Discount"/>
    <d v="2026-02-27T19:38:54"/>
    <x v="1"/>
  </r>
  <r>
    <s v="CUST011"/>
    <s v="Linda Wilson"/>
    <s v="North"/>
    <s v="Books"/>
    <n v="884.63"/>
    <n v="18"/>
    <n v="0.1"/>
    <x v="105"/>
    <n v="318.47000000000003"/>
    <s v="Low Discount"/>
    <d v="2026-02-27T19:38:54"/>
    <x v="1"/>
  </r>
  <r>
    <s v="CUST028"/>
    <s v="James Wilson"/>
    <s v="Central"/>
    <s v="Office Supplies"/>
    <n v="745.05"/>
    <n v="10"/>
    <n v="0.1"/>
    <x v="106"/>
    <n v="301.75"/>
    <s v="Low Discount"/>
    <d v="2026-02-27T19:38:54"/>
    <x v="1"/>
  </r>
  <r>
    <s v="CUST016"/>
    <s v="James Taylor"/>
    <s v="South"/>
    <s v="Clothing"/>
    <n v="870.23"/>
    <n v="5"/>
    <n v="0.05"/>
    <x v="106"/>
    <n v="413.36"/>
    <s v="Low Discount"/>
    <d v="2026-02-27T19:38:54"/>
    <x v="1"/>
  </r>
  <r>
    <s v="CUST010"/>
    <s v="Linda Wilson"/>
    <s v="West"/>
    <s v="Furniture"/>
    <n v="862.19"/>
    <n v="18"/>
    <n v="0.05"/>
    <x v="107"/>
    <n v="286.68"/>
    <s v="Low Discount"/>
    <d v="2026-02-27T19:38:54"/>
    <x v="1"/>
  </r>
  <r>
    <s v="CUST013"/>
    <s v="Mary Wilson"/>
    <s v="North"/>
    <s v="Clothing"/>
    <n v="1171.18"/>
    <n v="19"/>
    <n v="0.05"/>
    <x v="108"/>
    <n v="556.30999999999995"/>
    <s v="Low Discount"/>
    <d v="2026-02-27T19:38:54"/>
    <x v="0"/>
  </r>
  <r>
    <s v="CUST015"/>
    <s v="Robert Anderson"/>
    <s v="South"/>
    <s v="Furniture"/>
    <n v="1054.56"/>
    <n v="11"/>
    <n v="0.1"/>
    <x v="109"/>
    <n v="332.19"/>
    <s v="Low Discount"/>
    <d v="2026-02-27T19:38:54"/>
    <x v="0"/>
  </r>
  <r>
    <s v="CUST015"/>
    <s v="James Wilson"/>
    <s v="North"/>
    <s v="Electronics"/>
    <n v="1681.21"/>
    <n v="5"/>
    <n v="0.2"/>
    <x v="110"/>
    <n v="336.24"/>
    <s v="High Discount"/>
    <d v="2026-02-27T19:38:54"/>
    <x v="0"/>
  </r>
  <r>
    <s v="CUST015"/>
    <s v="David Thomas"/>
    <s v="West"/>
    <s v="Clothing"/>
    <n v="379.77"/>
    <n v="9"/>
    <n v="0.05"/>
    <x v="111"/>
    <n v="180.39"/>
    <s v="Low Discount"/>
    <d v="2026-02-27T19:38:54"/>
    <x v="1"/>
  </r>
  <r>
    <s v="CUST008"/>
    <s v="Lisa Thomas"/>
    <s v="Central"/>
    <s v="Clothing"/>
    <n v="1076.33"/>
    <n v="2"/>
    <n v="0.1"/>
    <x v="112"/>
    <n v="484.35"/>
    <s v="Low Discount"/>
    <d v="2026-02-27T19:38:54"/>
    <x v="0"/>
  </r>
  <r>
    <s v="CUST008"/>
    <s v="Mary Davis"/>
    <s v="Central"/>
    <s v="Office Supplies"/>
    <n v="1250.71"/>
    <n v="7"/>
    <n v="0"/>
    <x v="112"/>
    <n v="562.82000000000005"/>
    <s v="No Discount"/>
    <d v="2026-02-27T19:38:54"/>
    <x v="0"/>
  </r>
  <r>
    <s v="CUST023"/>
    <s v="James Taylor"/>
    <s v="South"/>
    <s v="Clothing"/>
    <n v="1118.3399999999999"/>
    <n v="6"/>
    <n v="0.2"/>
    <x v="112"/>
    <n v="447.34"/>
    <s v="High Discount"/>
    <d v="2026-02-27T19:38:54"/>
    <x v="0"/>
  </r>
  <r>
    <s v="CUST024"/>
    <s v="Linda Taylor"/>
    <s v="North"/>
    <s v="Clothing"/>
    <n v="1622.62"/>
    <n v="12"/>
    <n v="0.2"/>
    <x v="113"/>
    <n v="649.04999999999995"/>
    <s v="High Discount"/>
    <d v="2026-02-27T19:38:54"/>
    <x v="0"/>
  </r>
  <r>
    <s v="CUST018"/>
    <s v="Lisa Davis"/>
    <s v="North"/>
    <s v="Books"/>
    <n v="640.64"/>
    <n v="11"/>
    <n v="0.2"/>
    <x v="114"/>
    <n v="205"/>
    <s v="High Discount"/>
    <d v="2026-02-27T19:38:54"/>
    <x v="1"/>
  </r>
  <r>
    <s v="CUST030"/>
    <s v="Sarah Anderson"/>
    <s v="West"/>
    <s v="Clothing"/>
    <n v="585.16"/>
    <n v="17"/>
    <n v="0.1"/>
    <x v="115"/>
    <n v="263.32"/>
    <s v="Low Discount"/>
    <d v="2026-02-27T19:38:54"/>
    <x v="1"/>
  </r>
  <r>
    <s v="CUST030"/>
    <s v="Mary Davis"/>
    <s v="East"/>
    <s v="Clothing"/>
    <n v="1109.98"/>
    <n v="5"/>
    <n v="0.2"/>
    <x v="116"/>
    <n v="443.99"/>
    <s v="High Discount"/>
    <d v="2026-02-27T19:38:54"/>
    <x v="0"/>
  </r>
  <r>
    <s v="CUST015"/>
    <s v="Lisa Thomas"/>
    <s v="East"/>
    <s v="Books"/>
    <n v="1098.08"/>
    <n v="9"/>
    <n v="0.1"/>
    <x v="117"/>
    <n v="395.31"/>
    <s v="Low Discount"/>
    <d v="2026-02-27T19:38:54"/>
    <x v="0"/>
  </r>
  <r>
    <s v="CUST002"/>
    <s v="Lisa Davis"/>
    <s v="West"/>
    <s v="Office Supplies"/>
    <n v="827.25"/>
    <n v="7"/>
    <n v="0.1"/>
    <x v="118"/>
    <n v="335.04"/>
    <s v="Low Discount"/>
    <d v="2026-02-27T19:38:54"/>
    <x v="1"/>
  </r>
  <r>
    <s v="CUST024"/>
    <s v="Linda Wilson"/>
    <s v="Central"/>
    <s v="Clothing"/>
    <n v="741.88"/>
    <n v="16"/>
    <n v="0.1"/>
    <x v="119"/>
    <n v="333.85"/>
    <s v="Low Discount"/>
    <d v="2026-02-27T19:38:54"/>
    <x v="1"/>
  </r>
  <r>
    <s v="CUST004"/>
    <s v="James Davis"/>
    <s v="East"/>
    <s v="Office Supplies"/>
    <n v="1311.26"/>
    <n v="6"/>
    <n v="0.1"/>
    <x v="120"/>
    <n v="531.05999999999995"/>
    <s v="Low Discount"/>
    <d v="2026-02-27T19:38:54"/>
    <x v="0"/>
  </r>
  <r>
    <s v="CUST004"/>
    <s v="Mary Davis"/>
    <s v="South"/>
    <s v="Office Supplies"/>
    <n v="573.32000000000005"/>
    <n v="19"/>
    <n v="0.1"/>
    <x v="121"/>
    <n v="232.19"/>
    <s v="Low Discount"/>
    <d v="2026-02-27T19:38:54"/>
    <x v="1"/>
  </r>
  <r>
    <s v="CUST028"/>
    <s v="James Wilson"/>
    <s v="West"/>
    <s v="Electronics"/>
    <n v="1115.22"/>
    <n v="14"/>
    <n v="0.2"/>
    <x v="122"/>
    <n v="223.04"/>
    <s v="High Discount"/>
    <d v="2026-02-27T19:38:54"/>
    <x v="0"/>
  </r>
  <r>
    <s v="CUST012"/>
    <s v="Lisa Thomas"/>
    <s v="North"/>
    <s v="Clothing"/>
    <n v="845.84"/>
    <n v="4"/>
    <n v="0"/>
    <x v="123"/>
    <n v="422.92"/>
    <s v="No Discount"/>
    <d v="2026-02-27T19:38:54"/>
    <x v="1"/>
  </r>
  <r>
    <s v="CUST026"/>
    <s v="David Brown"/>
    <s v="West"/>
    <s v="Electronics"/>
    <n v="1029.8"/>
    <n v="3"/>
    <n v="0"/>
    <x v="124"/>
    <n v="257.45"/>
    <s v="No Discount"/>
    <d v="2026-02-27T19:38:54"/>
    <x v="0"/>
  </r>
  <r>
    <s v="CUST009"/>
    <s v="Mary Davis"/>
    <s v="North"/>
    <s v="Books"/>
    <n v="1189.83"/>
    <n v="2"/>
    <n v="0.2"/>
    <x v="125"/>
    <n v="380.75"/>
    <s v="High Discount"/>
    <d v="2026-02-27T19:38:54"/>
    <x v="0"/>
  </r>
  <r>
    <s v="CUST003"/>
    <s v="Sarah Anderson"/>
    <s v="South"/>
    <s v="Books"/>
    <n v="704.28"/>
    <n v="15"/>
    <n v="0.2"/>
    <x v="126"/>
    <n v="225.37"/>
    <s v="High Discount"/>
    <d v="2026-02-27T19:38:54"/>
    <x v="1"/>
  </r>
  <r>
    <s v="CUST002"/>
    <s v="Mary Jackson"/>
    <s v="Central"/>
    <s v="Office Supplies"/>
    <n v="1618.22"/>
    <n v="12"/>
    <n v="0.2"/>
    <x v="126"/>
    <n v="582.55999999999995"/>
    <s v="High Discount"/>
    <d v="2026-02-27T19:38:54"/>
    <x v="0"/>
  </r>
  <r>
    <s v="CUST013"/>
    <s v="Linda Taylor"/>
    <s v="Central"/>
    <s v="Books"/>
    <n v="1014.43"/>
    <n v="2"/>
    <n v="0.15"/>
    <x v="127"/>
    <n v="344.91"/>
    <s v="Medium Discount"/>
    <d v="2026-02-27T19:38:54"/>
    <x v="0"/>
  </r>
  <r>
    <s v="CUST018"/>
    <s v="Mary Davis"/>
    <s v="Central"/>
    <s v="Clothing"/>
    <n v="826.97"/>
    <n v="18"/>
    <n v="0.2"/>
    <x v="128"/>
    <n v="330.79"/>
    <s v="High Discount"/>
    <d v="2026-02-27T19:38:54"/>
    <x v="1"/>
  </r>
  <r>
    <s v="CUST017"/>
    <s v="Mary Davis"/>
    <s v="Central"/>
    <s v="Clothing"/>
    <n v="1022.23"/>
    <n v="8"/>
    <n v="0.1"/>
    <x v="129"/>
    <n v="460"/>
    <s v="Low Discount"/>
    <d v="2026-02-27T19:38:54"/>
    <x v="0"/>
  </r>
  <r>
    <s v="CUST004"/>
    <s v="Linda Wilson"/>
    <s v="East"/>
    <s v="Books"/>
    <n v="1099.69"/>
    <n v="6"/>
    <n v="0"/>
    <x v="130"/>
    <n v="439.88"/>
    <s v="No Discount"/>
    <d v="2026-02-27T19:38:54"/>
    <x v="0"/>
  </r>
  <r>
    <s v="CUST028"/>
    <s v="Sarah Davis"/>
    <s v="North"/>
    <s v="Books"/>
    <n v="710.52"/>
    <n v="8"/>
    <n v="0.1"/>
    <x v="131"/>
    <n v="255.79"/>
    <s v="Low Discount"/>
    <d v="2026-02-27T19:38:54"/>
    <x v="1"/>
  </r>
  <r>
    <s v="CUST028"/>
    <s v="Mary Wilson"/>
    <s v="North"/>
    <s v="Books"/>
    <n v="499.18"/>
    <n v="15"/>
    <n v="0.2"/>
    <x v="132"/>
    <n v="159.74"/>
    <s v="High Discount"/>
    <d v="2026-02-27T19:38:54"/>
    <x v="1"/>
  </r>
  <r>
    <s v="CUST014"/>
    <s v="Emma Davis"/>
    <s v="South"/>
    <s v="Books"/>
    <n v="1064.19"/>
    <n v="18"/>
    <n v="0.05"/>
    <x v="133"/>
    <n v="404.39"/>
    <s v="Low Discount"/>
    <d v="2026-02-27T19:38:54"/>
    <x v="0"/>
  </r>
  <r>
    <s v="CUST003"/>
    <s v="Emma Davis"/>
    <s v="East"/>
    <s v="Office Supplies"/>
    <n v="438.76"/>
    <n v="18"/>
    <n v="0.05"/>
    <x v="134"/>
    <n v="187.57"/>
    <s v="Low Discount"/>
    <d v="2026-02-27T19:38:54"/>
    <x v="1"/>
  </r>
  <r>
    <s v="CUST029"/>
    <s v="David Brown"/>
    <s v="West"/>
    <s v="Clothing"/>
    <n v="864.98"/>
    <n v="2"/>
    <n v="0.05"/>
    <x v="135"/>
    <n v="410.87"/>
    <s v="Low Discount"/>
    <d v="2026-02-27T19:38:54"/>
    <x v="1"/>
  </r>
  <r>
    <s v="CUST021"/>
    <s v="David Brown"/>
    <s v="West"/>
    <s v="Furniture"/>
    <n v="984.93"/>
    <n v="14"/>
    <n v="0.2"/>
    <x v="136"/>
    <n v="275.77999999999997"/>
    <s v="High Discount"/>
    <d v="2026-02-27T19:38:54"/>
    <x v="1"/>
  </r>
  <r>
    <s v="CUST007"/>
    <s v="David Brown"/>
    <s v="West"/>
    <s v="Clothing"/>
    <n v="1493.49"/>
    <n v="18"/>
    <n v="0"/>
    <x v="137"/>
    <n v="746.74"/>
    <s v="No Discount"/>
    <d v="2026-02-27T19:38:54"/>
    <x v="0"/>
  </r>
  <r>
    <s v="CUST009"/>
    <s v="Linda Taylor"/>
    <s v="South"/>
    <s v="Clothing"/>
    <n v="689.43"/>
    <n v="9"/>
    <n v="0.1"/>
    <x v="138"/>
    <n v="310.24"/>
    <s v="Low Discount"/>
    <d v="2026-02-27T19:38:54"/>
    <x v="1"/>
  </r>
  <r>
    <s v="CUST023"/>
    <s v="Mary Wilson"/>
    <s v="South"/>
    <s v="Clothing"/>
    <n v="682.24"/>
    <n v="1"/>
    <n v="0"/>
    <x v="139"/>
    <n v="341.12"/>
    <s v="No Discount"/>
    <d v="2026-02-27T19:38:54"/>
    <x v="1"/>
  </r>
  <r>
    <s v="CUST029"/>
    <s v="Michael Anderson"/>
    <s v="North"/>
    <s v="Electronics"/>
    <n v="458.54"/>
    <n v="15"/>
    <n v="0.2"/>
    <x v="140"/>
    <n v="91.71"/>
    <s v="High Discount"/>
    <d v="2026-02-27T19:38:54"/>
    <x v="1"/>
  </r>
  <r>
    <s v="CUST009"/>
    <s v="Michael Anderson"/>
    <s v="South"/>
    <s v="Furniture"/>
    <n v="1184.25"/>
    <n v="11"/>
    <n v="0.2"/>
    <x v="141"/>
    <n v="331.59"/>
    <s v="High Discount"/>
    <d v="2026-02-27T19:38:54"/>
    <x v="0"/>
  </r>
  <r>
    <s v="CUST007"/>
    <s v="James Davis"/>
    <s v="South"/>
    <s v="Clothing"/>
    <n v="762.14"/>
    <n v="9"/>
    <n v="0"/>
    <x v="142"/>
    <n v="381.07"/>
    <s v="No Discount"/>
    <d v="2026-02-27T19:38:54"/>
    <x v="1"/>
  </r>
  <r>
    <s v="CUST030"/>
    <s v="Linda Taylor"/>
    <s v="North"/>
    <s v="Books"/>
    <n v="750.71"/>
    <n v="10"/>
    <n v="0.15"/>
    <x v="142"/>
    <n v="255.24"/>
    <s v="Medium Discount"/>
    <d v="2026-02-27T19:38:54"/>
    <x v="1"/>
  </r>
  <r>
    <s v="CUST018"/>
    <s v="David Anderson"/>
    <s v="Central"/>
    <s v="Clothing"/>
    <n v="1456.94"/>
    <n v="14"/>
    <n v="0.05"/>
    <x v="143"/>
    <n v="692.05"/>
    <s v="Low Discount"/>
    <d v="2026-02-27T19:38:54"/>
    <x v="0"/>
  </r>
  <r>
    <s v="CUST008"/>
    <s v="Emma Wilson"/>
    <s v="East"/>
    <s v="Furniture"/>
    <n v="1093.3800000000001"/>
    <n v="17"/>
    <n v="0.1"/>
    <x v="143"/>
    <n v="344.41"/>
    <s v="Low Discount"/>
    <d v="2026-02-27T19:38:54"/>
    <x v="0"/>
  </r>
  <r>
    <s v="CUST014"/>
    <s v="Sarah Anderson"/>
    <s v="West"/>
    <s v="Clothing"/>
    <n v="934.27"/>
    <n v="8"/>
    <n v="0.15"/>
    <x v="144"/>
    <n v="397.06"/>
    <s v="Medium Discount"/>
    <d v="2026-02-27T19:38:54"/>
    <x v="1"/>
  </r>
  <r>
    <s v="CUST024"/>
    <s v="David Thomas"/>
    <s v="Central"/>
    <s v="Clothing"/>
    <n v="1465.35"/>
    <n v="8"/>
    <n v="0.2"/>
    <x v="144"/>
    <n v="586.14"/>
    <s v="High Discount"/>
    <d v="2026-02-27T19:38:54"/>
    <x v="0"/>
  </r>
  <r>
    <s v="CUST028"/>
    <s v="Robert Anderson"/>
    <s v="South"/>
    <s v="Office Supplies"/>
    <n v="740.8"/>
    <n v="3"/>
    <n v="0"/>
    <x v="145"/>
    <n v="333.36"/>
    <s v="No Discount"/>
    <d v="2026-02-27T19:38:54"/>
    <x v="1"/>
  </r>
  <r>
    <s v="CUST015"/>
    <s v="Sarah Anderson"/>
    <s v="West"/>
    <s v="Office Supplies"/>
    <n v="545.44000000000005"/>
    <n v="17"/>
    <n v="0"/>
    <x v="146"/>
    <n v="245.45"/>
    <s v="No Discount"/>
    <d v="2026-02-27T19:38:54"/>
    <x v="1"/>
  </r>
  <r>
    <s v="CUST010"/>
    <s v="David Thomas"/>
    <s v="East"/>
    <s v="Books"/>
    <n v="997.61"/>
    <n v="8"/>
    <n v="0.05"/>
    <x v="146"/>
    <n v="379.09"/>
    <s v="Low Discount"/>
    <d v="2026-02-27T19:38:54"/>
    <x v="1"/>
  </r>
  <r>
    <s v="CUST016"/>
    <s v="David Thomas"/>
    <s v="South"/>
    <s v="Clothing"/>
    <n v="928.32"/>
    <n v="2"/>
    <n v="0.05"/>
    <x v="147"/>
    <n v="440.95"/>
    <s v="Low Discount"/>
    <d v="2026-02-27T19:38:54"/>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s v="West"/>
    <x v="0"/>
    <n v="1036.0899999999999"/>
    <n v="4"/>
    <n v="0.2"/>
    <x v="0"/>
    <n v="331.55"/>
    <s v="High Discount"/>
    <d v="2026-02-27T20:31:00"/>
    <x v="0"/>
    <x v="0"/>
  </r>
  <r>
    <s v="CUST012"/>
    <s v="Robert Anderson"/>
    <s v="West"/>
    <x v="1"/>
    <n v="1101.28"/>
    <n v="3"/>
    <n v="0.2"/>
    <x v="1"/>
    <n v="440.51"/>
    <s v="High Discount"/>
    <d v="2026-02-27T20:31:00"/>
    <x v="0"/>
    <x v="1"/>
  </r>
  <r>
    <s v="CUST017"/>
    <s v="James Taylor"/>
    <s v="East"/>
    <x v="0"/>
    <n v="713.34"/>
    <n v="17"/>
    <n v="0"/>
    <x v="2"/>
    <n v="285.33999999999997"/>
    <s v="No Discount"/>
    <d v="2026-02-27T20:31:00"/>
    <x v="1"/>
    <x v="2"/>
  </r>
  <r>
    <s v="CUST005"/>
    <s v="Robert Anderson"/>
    <s v="South"/>
    <x v="2"/>
    <n v="760.93"/>
    <n v="4"/>
    <n v="0.15"/>
    <x v="2"/>
    <n v="161.69999999999999"/>
    <s v="Medium Discount"/>
    <d v="2026-02-27T20:31:00"/>
    <x v="1"/>
    <x v="3"/>
  </r>
  <r>
    <s v="CUST030"/>
    <s v="James Wilson"/>
    <s v="North"/>
    <x v="0"/>
    <n v="847"/>
    <n v="12"/>
    <n v="0.2"/>
    <x v="3"/>
    <n v="271.04000000000002"/>
    <s v="High Discount"/>
    <d v="2026-02-27T20:31:00"/>
    <x v="1"/>
    <x v="4"/>
  </r>
  <r>
    <s v="CUST007"/>
    <s v="Michael Anderson"/>
    <s v="North"/>
    <x v="3"/>
    <n v="965.64"/>
    <n v="8"/>
    <n v="0.1"/>
    <x v="4"/>
    <n v="304.18"/>
    <s v="Low Discount"/>
    <d v="2026-02-27T20:31:00"/>
    <x v="1"/>
    <x v="5"/>
  </r>
  <r>
    <s v="CUST001"/>
    <s v="Linda Wilson"/>
    <s v="West"/>
    <x v="2"/>
    <n v="1317.53"/>
    <n v="12"/>
    <n v="0.05"/>
    <x v="4"/>
    <n v="312.91000000000003"/>
    <s v="Low Discount"/>
    <d v="2026-02-27T20:31:00"/>
    <x v="0"/>
    <x v="6"/>
  </r>
  <r>
    <s v="CUST026"/>
    <s v="Mary Davis"/>
    <s v="East"/>
    <x v="3"/>
    <n v="1074.47"/>
    <n v="6"/>
    <n v="0.2"/>
    <x v="5"/>
    <n v="300.85000000000002"/>
    <s v="High Discount"/>
    <d v="2026-02-27T20:31:00"/>
    <x v="0"/>
    <x v="7"/>
  </r>
  <r>
    <s v="CUST009"/>
    <s v="Linda Jackson"/>
    <s v="Central"/>
    <x v="0"/>
    <n v="501.54"/>
    <n v="11"/>
    <n v="0.05"/>
    <x v="5"/>
    <n v="190.59"/>
    <s v="Low Discount"/>
    <d v="2026-02-27T20:31:00"/>
    <x v="1"/>
    <x v="8"/>
  </r>
  <r>
    <s v="CUST010"/>
    <s v="David Thomas"/>
    <s v="Central"/>
    <x v="1"/>
    <n v="737.31"/>
    <n v="2"/>
    <n v="0.05"/>
    <x v="5"/>
    <n v="350.22"/>
    <s v="Low Discount"/>
    <d v="2026-02-27T20:31:00"/>
    <x v="1"/>
    <x v="9"/>
  </r>
  <r>
    <s v="CUST014"/>
    <s v="Emma Davis"/>
    <s v="West"/>
    <x v="4"/>
    <n v="1572.82"/>
    <n v="6"/>
    <n v="0.05"/>
    <x v="6"/>
    <n v="672.38"/>
    <s v="Low Discount"/>
    <d v="2026-02-27T20:31:00"/>
    <x v="0"/>
    <x v="10"/>
  </r>
  <r>
    <s v="CUST014"/>
    <s v="David Thomas"/>
    <s v="Central"/>
    <x v="0"/>
    <n v="1343.13"/>
    <n v="14"/>
    <n v="0.15"/>
    <x v="7"/>
    <n v="456.66"/>
    <s v="Medium Discount"/>
    <d v="2026-02-27T20:31:00"/>
    <x v="0"/>
    <x v="11"/>
  </r>
  <r>
    <s v="CUST007"/>
    <s v="Michael Anderson"/>
    <s v="Central"/>
    <x v="0"/>
    <n v="1191.58"/>
    <n v="14"/>
    <n v="0.05"/>
    <x v="8"/>
    <n v="452.8"/>
    <s v="Low Discount"/>
    <d v="2026-02-27T20:31:00"/>
    <x v="0"/>
    <x v="12"/>
  </r>
  <r>
    <s v="CUST023"/>
    <s v="Robert Anderson"/>
    <s v="West"/>
    <x v="3"/>
    <n v="822.28"/>
    <n v="7"/>
    <n v="0.05"/>
    <x v="8"/>
    <n v="273.41000000000003"/>
    <s v="Low Discount"/>
    <d v="2026-02-27T20:31:00"/>
    <x v="1"/>
    <x v="13"/>
  </r>
  <r>
    <s v="CUST029"/>
    <s v="David Smith"/>
    <s v="North"/>
    <x v="3"/>
    <n v="521.66999999999996"/>
    <n v="15"/>
    <n v="0.15"/>
    <x v="9"/>
    <n v="155.19999999999999"/>
    <s v="Medium Discount"/>
    <d v="2026-02-27T20:31:00"/>
    <x v="1"/>
    <x v="14"/>
  </r>
  <r>
    <s v="CUST005"/>
    <s v="Sarah Anderson"/>
    <s v="South"/>
    <x v="2"/>
    <n v="1502.93"/>
    <n v="14"/>
    <n v="0.2"/>
    <x v="10"/>
    <n v="300.58999999999997"/>
    <s v="High Discount"/>
    <d v="2026-02-27T20:31:00"/>
    <x v="0"/>
    <x v="15"/>
  </r>
  <r>
    <s v="CUST008"/>
    <s v="Robert Anderson"/>
    <s v="South"/>
    <x v="0"/>
    <n v="877.58"/>
    <n v="10"/>
    <n v="0.15"/>
    <x v="11"/>
    <n v="298.38"/>
    <s v="Medium Discount"/>
    <d v="2026-02-27T20:31:00"/>
    <x v="1"/>
    <x v="16"/>
  </r>
  <r>
    <s v="CUST001"/>
    <s v="Lisa Thomas"/>
    <s v="West"/>
    <x v="0"/>
    <n v="636.70000000000005"/>
    <n v="4"/>
    <n v="0.2"/>
    <x v="11"/>
    <n v="203.74"/>
    <s v="High Discount"/>
    <d v="2026-02-27T20:31:00"/>
    <x v="1"/>
    <x v="17"/>
  </r>
  <r>
    <s v="CUST006"/>
    <s v="Mary Jackson"/>
    <s v="West"/>
    <x v="0"/>
    <n v="1506.14"/>
    <n v="13"/>
    <n v="0.2"/>
    <x v="12"/>
    <n v="481.96"/>
    <s v="High Discount"/>
    <d v="2026-02-27T20:31:00"/>
    <x v="0"/>
    <x v="18"/>
  </r>
  <r>
    <s v="CUST026"/>
    <s v="Mary Davis"/>
    <s v="Central"/>
    <x v="2"/>
    <n v="645.02"/>
    <n v="4"/>
    <n v="0"/>
    <x v="13"/>
    <n v="161.26"/>
    <s v="No Discount"/>
    <d v="2026-02-27T20:31:00"/>
    <x v="1"/>
    <x v="19"/>
  </r>
  <r>
    <s v="CUST007"/>
    <s v="Lisa Davis"/>
    <s v="South"/>
    <x v="1"/>
    <n v="953.3"/>
    <n v="11"/>
    <n v="0"/>
    <x v="14"/>
    <n v="476.65"/>
    <s v="No Discount"/>
    <d v="2026-02-27T20:31:00"/>
    <x v="1"/>
    <x v="20"/>
  </r>
  <r>
    <s v="CUST022"/>
    <s v="Robert Anderson"/>
    <s v="North"/>
    <x v="2"/>
    <n v="388.56"/>
    <n v="14"/>
    <n v="0.15"/>
    <x v="15"/>
    <n v="82.57"/>
    <s v="Medium Discount"/>
    <d v="2026-02-27T20:31:00"/>
    <x v="1"/>
    <x v="21"/>
  </r>
  <r>
    <s v="CUST019"/>
    <s v="Mary Davis"/>
    <s v="West"/>
    <x v="0"/>
    <n v="743.17"/>
    <n v="9"/>
    <n v="0"/>
    <x v="15"/>
    <n v="297.27"/>
    <s v="No Discount"/>
    <d v="2026-02-27T20:31:00"/>
    <x v="1"/>
    <x v="22"/>
  </r>
  <r>
    <s v="CUST023"/>
    <s v="Mary Davis"/>
    <s v="Central"/>
    <x v="2"/>
    <n v="706.37"/>
    <n v="6"/>
    <n v="0"/>
    <x v="15"/>
    <n v="176.59"/>
    <s v="No Discount"/>
    <d v="2026-02-27T20:31:00"/>
    <x v="1"/>
    <x v="23"/>
  </r>
  <r>
    <s v="CUST012"/>
    <s v="Mary Davis"/>
    <s v="Central"/>
    <x v="4"/>
    <n v="925.31"/>
    <n v="8"/>
    <n v="0.1"/>
    <x v="16"/>
    <n v="374.75"/>
    <s v="Low Discount"/>
    <d v="2026-02-27T20:31:00"/>
    <x v="1"/>
    <x v="24"/>
  </r>
  <r>
    <s v="CUST010"/>
    <s v="Linda Brown"/>
    <s v="South"/>
    <x v="2"/>
    <n v="1173.1199999999999"/>
    <n v="18"/>
    <n v="0"/>
    <x v="16"/>
    <n v="293.27999999999997"/>
    <s v="No Discount"/>
    <d v="2026-02-27T20:31:00"/>
    <x v="0"/>
    <x v="25"/>
  </r>
  <r>
    <s v="CUST030"/>
    <s v="John Brown"/>
    <s v="North"/>
    <x v="3"/>
    <n v="675.54"/>
    <n v="17"/>
    <n v="0"/>
    <x v="17"/>
    <n v="236.44"/>
    <s v="No Discount"/>
    <d v="2026-02-27T20:31:00"/>
    <x v="1"/>
    <x v="26"/>
  </r>
  <r>
    <s v="CUST007"/>
    <s v="Robert Anderson"/>
    <s v="Central"/>
    <x v="0"/>
    <n v="939.09"/>
    <n v="2"/>
    <n v="0.05"/>
    <x v="18"/>
    <n v="356.85"/>
    <s v="Low Discount"/>
    <d v="2026-02-27T20:31:00"/>
    <x v="1"/>
    <x v="27"/>
  </r>
  <r>
    <s v="CUST028"/>
    <s v="Linda Taylor"/>
    <s v="East"/>
    <x v="4"/>
    <n v="983.34"/>
    <n v="19"/>
    <n v="0.1"/>
    <x v="19"/>
    <n v="398.25"/>
    <s v="Low Discount"/>
    <d v="2026-02-27T20:31:00"/>
    <x v="1"/>
    <x v="28"/>
  </r>
  <r>
    <s v="CUST028"/>
    <s v="James Wilson"/>
    <s v="South"/>
    <x v="2"/>
    <n v="801.21"/>
    <n v="3"/>
    <n v="0.2"/>
    <x v="19"/>
    <n v="160.24"/>
    <s v="High Discount"/>
    <d v="2026-02-27T20:31:00"/>
    <x v="1"/>
    <x v="29"/>
  </r>
  <r>
    <s v="CUST025"/>
    <s v="David Brown"/>
    <s v="North"/>
    <x v="2"/>
    <n v="1450.71"/>
    <n v="5"/>
    <n v="0.1"/>
    <x v="20"/>
    <n v="326.41000000000003"/>
    <s v="Low Discount"/>
    <d v="2026-02-27T20:31:00"/>
    <x v="0"/>
    <x v="30"/>
  </r>
  <r>
    <s v="CUST022"/>
    <s v="David Davis"/>
    <s v="Central"/>
    <x v="0"/>
    <n v="1023.21"/>
    <n v="18"/>
    <n v="0.05"/>
    <x v="21"/>
    <n v="388.82"/>
    <s v="Low Discount"/>
    <d v="2026-02-27T20:31:00"/>
    <x v="0"/>
    <x v="31"/>
  </r>
  <r>
    <s v="CUST001"/>
    <s v="Mary Jackson"/>
    <s v="West"/>
    <x v="3"/>
    <n v="853.72"/>
    <n v="5"/>
    <n v="0.15"/>
    <x v="21"/>
    <n v="253.98"/>
    <s v="Medium Discount"/>
    <d v="2026-02-27T20:31:00"/>
    <x v="1"/>
    <x v="32"/>
  </r>
  <r>
    <s v="CUST021"/>
    <s v="Sarah Anderson"/>
    <s v="South"/>
    <x v="2"/>
    <n v="967.89"/>
    <n v="10"/>
    <n v="0.1"/>
    <x v="22"/>
    <n v="217.78"/>
    <s v="Low Discount"/>
    <d v="2026-02-27T20:31:00"/>
    <x v="1"/>
    <x v="33"/>
  </r>
  <r>
    <s v="CUST015"/>
    <s v="Linda Taylor"/>
    <s v="North"/>
    <x v="4"/>
    <n v="1200.9000000000001"/>
    <n v="14"/>
    <n v="0.05"/>
    <x v="22"/>
    <n v="513.38"/>
    <s v="Low Discount"/>
    <d v="2026-02-27T20:31:00"/>
    <x v="0"/>
    <x v="34"/>
  </r>
  <r>
    <s v="CUST012"/>
    <s v="Michael Anderson"/>
    <s v="West"/>
    <x v="0"/>
    <n v="472.38"/>
    <n v="12"/>
    <n v="0.2"/>
    <x v="22"/>
    <n v="151.16"/>
    <s v="High Discount"/>
    <d v="2026-02-27T20:31:00"/>
    <x v="1"/>
    <x v="35"/>
  </r>
  <r>
    <s v="CUST019"/>
    <s v="David Brown"/>
    <s v="East"/>
    <x v="4"/>
    <n v="840.92"/>
    <n v="9"/>
    <n v="0.05"/>
    <x v="22"/>
    <n v="359.49"/>
    <s v="Low Discount"/>
    <d v="2026-02-27T20:31:00"/>
    <x v="1"/>
    <x v="36"/>
  </r>
  <r>
    <s v="CUST028"/>
    <s v="Lisa Davis"/>
    <s v="Central"/>
    <x v="3"/>
    <n v="1410.06"/>
    <n v="11"/>
    <n v="0.05"/>
    <x v="23"/>
    <n v="468.84"/>
    <s v="Low Discount"/>
    <d v="2026-02-27T20:31:00"/>
    <x v="0"/>
    <x v="37"/>
  </r>
  <r>
    <s v="CUST008"/>
    <s v="Mary Wilson"/>
    <s v="Central"/>
    <x v="3"/>
    <n v="773.09"/>
    <n v="13"/>
    <n v="0.15"/>
    <x v="23"/>
    <n v="229.99"/>
    <s v="Medium Discount"/>
    <d v="2026-02-27T20:31:00"/>
    <x v="1"/>
    <x v="38"/>
  </r>
  <r>
    <s v="CUST016"/>
    <s v="Emma Wilson"/>
    <s v="East"/>
    <x v="0"/>
    <n v="580.42999999999995"/>
    <n v="19"/>
    <n v="0.15"/>
    <x v="24"/>
    <n v="197.35"/>
    <s v="Medium Discount"/>
    <d v="2026-02-27T20:31:00"/>
    <x v="1"/>
    <x v="39"/>
  </r>
  <r>
    <s v="CUST005"/>
    <s v="David Smith"/>
    <s v="South"/>
    <x v="0"/>
    <n v="1151.21"/>
    <n v="15"/>
    <n v="0.1"/>
    <x v="25"/>
    <n v="414.44"/>
    <s v="Low Discount"/>
    <d v="2026-02-27T20:31:00"/>
    <x v="0"/>
    <x v="40"/>
  </r>
  <r>
    <s v="CUST028"/>
    <s v="James Wilson"/>
    <s v="Central"/>
    <x v="4"/>
    <n v="1025.98"/>
    <n v="5"/>
    <n v="0.2"/>
    <x v="26"/>
    <n v="369.35"/>
    <s v="High Discount"/>
    <d v="2026-02-27T20:31:00"/>
    <x v="0"/>
    <x v="41"/>
  </r>
  <r>
    <s v="CUST023"/>
    <s v="David Davis"/>
    <s v="East"/>
    <x v="4"/>
    <n v="556.41999999999996"/>
    <n v="11"/>
    <n v="0.15"/>
    <x v="26"/>
    <n v="212.83"/>
    <s v="Medium Discount"/>
    <d v="2026-02-27T20:31:00"/>
    <x v="1"/>
    <x v="42"/>
  </r>
  <r>
    <s v="CUST021"/>
    <s v="James Wilson"/>
    <s v="Central"/>
    <x v="0"/>
    <n v="840.85"/>
    <n v="19"/>
    <n v="0.1"/>
    <x v="27"/>
    <n v="302.70999999999998"/>
    <s v="Low Discount"/>
    <d v="2026-02-27T20:31:00"/>
    <x v="1"/>
    <x v="43"/>
  </r>
  <r>
    <s v="CUST026"/>
    <s v="Emma Wilson"/>
    <s v="North"/>
    <x v="3"/>
    <n v="1227.25"/>
    <n v="12"/>
    <n v="0.15"/>
    <x v="27"/>
    <n v="365.11"/>
    <s v="Medium Discount"/>
    <d v="2026-02-27T20:31:00"/>
    <x v="0"/>
    <x v="44"/>
  </r>
  <r>
    <s v="CUST017"/>
    <s v="Linda Davis"/>
    <s v="Central"/>
    <x v="2"/>
    <n v="856.7"/>
    <n v="2"/>
    <n v="0"/>
    <x v="28"/>
    <n v="214.18"/>
    <s v="No Discount"/>
    <d v="2026-02-27T20:31:00"/>
    <x v="1"/>
    <x v="45"/>
  </r>
  <r>
    <s v="CUST025"/>
    <s v="David Davis"/>
    <s v="Central"/>
    <x v="4"/>
    <n v="1225.42"/>
    <n v="8"/>
    <n v="0.15"/>
    <x v="28"/>
    <n v="468.72"/>
    <s v="Medium Discount"/>
    <d v="2026-02-27T20:31:00"/>
    <x v="0"/>
    <x v="46"/>
  </r>
  <r>
    <s v="CUST011"/>
    <s v="Mary Davis"/>
    <s v="North"/>
    <x v="4"/>
    <n v="1001.57"/>
    <n v="12"/>
    <n v="0"/>
    <x v="29"/>
    <n v="450.71"/>
    <s v="No Discount"/>
    <d v="2026-02-27T20:31:00"/>
    <x v="0"/>
    <x v="47"/>
  </r>
  <r>
    <s v="CUST021"/>
    <s v="Michael Anderson"/>
    <s v="East"/>
    <x v="3"/>
    <n v="1186.8499999999999"/>
    <n v="19"/>
    <n v="0.2"/>
    <x v="30"/>
    <n v="332.32"/>
    <s v="High Discount"/>
    <d v="2026-02-27T20:31:00"/>
    <x v="0"/>
    <x v="48"/>
  </r>
  <r>
    <s v="CUST008"/>
    <s v="John Brown"/>
    <s v="South"/>
    <x v="2"/>
    <n v="775.45"/>
    <n v="6"/>
    <n v="0.1"/>
    <x v="31"/>
    <n v="174.48"/>
    <s v="Low Discount"/>
    <d v="2026-02-27T20:31:00"/>
    <x v="1"/>
    <x v="49"/>
  </r>
  <r>
    <s v="CUST007"/>
    <s v="Linda Jackson"/>
    <s v="South"/>
    <x v="2"/>
    <n v="1021.47"/>
    <n v="6"/>
    <n v="0.05"/>
    <x v="32"/>
    <n v="242.6"/>
    <s v="Low Discount"/>
    <d v="2026-02-27T20:31:00"/>
    <x v="0"/>
    <x v="50"/>
  </r>
  <r>
    <s v="CUST015"/>
    <s v="James Wilson"/>
    <s v="South"/>
    <x v="1"/>
    <n v="1226.6199999999999"/>
    <n v="7"/>
    <n v="0.1"/>
    <x v="33"/>
    <n v="551.98"/>
    <s v="Low Discount"/>
    <d v="2026-02-27T20:31:00"/>
    <x v="0"/>
    <x v="51"/>
  </r>
  <r>
    <s v="CUST030"/>
    <s v="Sarah Davis"/>
    <s v="South"/>
    <x v="3"/>
    <n v="1086.93"/>
    <n v="2"/>
    <n v="0"/>
    <x v="34"/>
    <n v="380.43"/>
    <s v="No Discount"/>
    <d v="2026-02-27T20:31:00"/>
    <x v="0"/>
    <x v="52"/>
  </r>
  <r>
    <s v="CUST002"/>
    <s v="Lisa Davis"/>
    <s v="West"/>
    <x v="0"/>
    <n v="942.9"/>
    <n v="18"/>
    <n v="0.1"/>
    <x v="35"/>
    <n v="339.44"/>
    <s v="Low Discount"/>
    <d v="2026-02-27T20:31:00"/>
    <x v="1"/>
    <x v="53"/>
  </r>
  <r>
    <s v="CUST009"/>
    <s v="Emma Davis"/>
    <s v="North"/>
    <x v="2"/>
    <n v="818.8"/>
    <n v="15"/>
    <n v="0.15"/>
    <x v="36"/>
    <n v="173.99"/>
    <s v="Medium Discount"/>
    <d v="2026-02-27T20:31:00"/>
    <x v="1"/>
    <x v="54"/>
  </r>
  <r>
    <s v="CUST005"/>
    <s v="Robert Anderson"/>
    <s v="South"/>
    <x v="3"/>
    <n v="919.04"/>
    <n v="10"/>
    <n v="0.2"/>
    <x v="36"/>
    <n v="257.33"/>
    <s v="High Discount"/>
    <d v="2026-02-27T20:31:00"/>
    <x v="1"/>
    <x v="55"/>
  </r>
  <r>
    <s v="CUST030"/>
    <s v="Emma Taylor"/>
    <s v="Central"/>
    <x v="0"/>
    <n v="973.26"/>
    <n v="11"/>
    <n v="0"/>
    <x v="37"/>
    <n v="389.3"/>
    <s v="No Discount"/>
    <d v="2026-02-27T20:31:00"/>
    <x v="1"/>
    <x v="56"/>
  </r>
  <r>
    <s v="CUST029"/>
    <s v="Sarah Davis"/>
    <s v="North"/>
    <x v="2"/>
    <n v="741.61"/>
    <n v="1"/>
    <n v="0.2"/>
    <x v="38"/>
    <n v="148.32"/>
    <s v="High Discount"/>
    <d v="2026-02-27T20:31:00"/>
    <x v="1"/>
    <x v="57"/>
  </r>
  <r>
    <s v="CUST003"/>
    <s v="Emma Davis"/>
    <s v="North"/>
    <x v="0"/>
    <n v="1248.82"/>
    <n v="2"/>
    <n v="0.1"/>
    <x v="39"/>
    <n v="449.58"/>
    <s v="Low Discount"/>
    <d v="2026-02-27T20:31:00"/>
    <x v="0"/>
    <x v="58"/>
  </r>
  <r>
    <s v="CUST012"/>
    <s v="Mary Wilson"/>
    <s v="West"/>
    <x v="1"/>
    <n v="1360.36"/>
    <n v="17"/>
    <n v="0"/>
    <x v="39"/>
    <n v="680.18"/>
    <s v="No Discount"/>
    <d v="2026-02-27T20:31:00"/>
    <x v="0"/>
    <x v="20"/>
  </r>
  <r>
    <s v="CUST021"/>
    <s v="Mary Davis"/>
    <s v="East"/>
    <x v="0"/>
    <n v="1383.3"/>
    <n v="8"/>
    <n v="0.1"/>
    <x v="40"/>
    <n v="497.99"/>
    <s v="Low Discount"/>
    <d v="2026-02-27T20:31:00"/>
    <x v="0"/>
    <x v="59"/>
  </r>
  <r>
    <s v="CUST010"/>
    <s v="David Brown"/>
    <s v="Central"/>
    <x v="4"/>
    <n v="488.99"/>
    <n v="9"/>
    <n v="0"/>
    <x v="41"/>
    <n v="220.05"/>
    <s v="No Discount"/>
    <d v="2026-02-27T20:31:00"/>
    <x v="1"/>
    <x v="60"/>
  </r>
  <r>
    <s v="CUST026"/>
    <s v="Mary Davis"/>
    <s v="East"/>
    <x v="3"/>
    <n v="933.71"/>
    <n v="17"/>
    <n v="0.1"/>
    <x v="42"/>
    <n v="294.12"/>
    <s v="Low Discount"/>
    <d v="2026-02-27T20:31:00"/>
    <x v="1"/>
    <x v="61"/>
  </r>
  <r>
    <s v="CUST003"/>
    <s v="James Davis"/>
    <s v="West"/>
    <x v="2"/>
    <n v="1005.53"/>
    <n v="17"/>
    <n v="0.2"/>
    <x v="42"/>
    <n v="201.11"/>
    <s v="High Discount"/>
    <d v="2026-02-27T20:31:00"/>
    <x v="0"/>
    <x v="62"/>
  </r>
  <r>
    <s v="CUST029"/>
    <s v="Emma Wilson"/>
    <s v="South"/>
    <x v="2"/>
    <n v="1100.0999999999999"/>
    <n v="5"/>
    <n v="0.05"/>
    <x v="43"/>
    <n v="261.27"/>
    <s v="Low Discount"/>
    <d v="2026-02-27T20:31:00"/>
    <x v="0"/>
    <x v="63"/>
  </r>
  <r>
    <s v="CUST003"/>
    <s v="James Wilson"/>
    <s v="North"/>
    <x v="3"/>
    <n v="1034.7"/>
    <n v="15"/>
    <n v="0.15"/>
    <x v="44"/>
    <n v="307.82"/>
    <s v="Medium Discount"/>
    <d v="2026-02-27T20:31:00"/>
    <x v="0"/>
    <x v="64"/>
  </r>
  <r>
    <s v="CUST002"/>
    <s v="Mary Davis"/>
    <s v="South"/>
    <x v="0"/>
    <n v="876.44"/>
    <n v="12"/>
    <n v="0.05"/>
    <x v="45"/>
    <n v="333.05"/>
    <s v="Low Discount"/>
    <d v="2026-02-27T20:31:00"/>
    <x v="1"/>
    <x v="65"/>
  </r>
  <r>
    <s v="CUST020"/>
    <s v="David Brown"/>
    <s v="West"/>
    <x v="3"/>
    <n v="1371.34"/>
    <n v="5"/>
    <n v="0.05"/>
    <x v="45"/>
    <n v="455.97"/>
    <s v="Low Discount"/>
    <d v="2026-02-27T20:31:00"/>
    <x v="0"/>
    <x v="66"/>
  </r>
  <r>
    <s v="CUST021"/>
    <s v="Mary Jackson"/>
    <s v="North"/>
    <x v="2"/>
    <n v="1020.26"/>
    <n v="11"/>
    <n v="0.05"/>
    <x v="46"/>
    <n v="242.31"/>
    <s v="Low Discount"/>
    <d v="2026-02-27T20:31:00"/>
    <x v="0"/>
    <x v="67"/>
  </r>
  <r>
    <s v="CUST008"/>
    <s v="James Davis"/>
    <s v="Central"/>
    <x v="4"/>
    <n v="804.81"/>
    <n v="1"/>
    <n v="0.05"/>
    <x v="47"/>
    <n v="344.06"/>
    <s v="Low Discount"/>
    <d v="2026-02-27T20:31:00"/>
    <x v="1"/>
    <x v="68"/>
  </r>
  <r>
    <s v="CUST030"/>
    <s v="David Brown"/>
    <s v="Central"/>
    <x v="2"/>
    <n v="608.66"/>
    <n v="1"/>
    <n v="0.05"/>
    <x v="48"/>
    <n v="144.56"/>
    <s v="Low Discount"/>
    <d v="2026-02-27T20:31:00"/>
    <x v="1"/>
    <x v="69"/>
  </r>
  <r>
    <s v="CUST020"/>
    <s v="Linda Moore"/>
    <s v="South"/>
    <x v="4"/>
    <n v="981.2"/>
    <n v="19"/>
    <n v="0"/>
    <x v="49"/>
    <n v="441.54"/>
    <s v="No Discount"/>
    <d v="2026-02-27T20:31:00"/>
    <x v="1"/>
    <x v="70"/>
  </r>
  <r>
    <s v="CUST024"/>
    <s v="David Brown"/>
    <s v="East"/>
    <x v="2"/>
    <n v="539.77"/>
    <n v="10"/>
    <n v="0.15"/>
    <x v="50"/>
    <n v="114.7"/>
    <s v="Medium Discount"/>
    <d v="2026-02-27T20:31:00"/>
    <x v="1"/>
    <x v="71"/>
  </r>
  <r>
    <s v="CUST012"/>
    <s v="David Anderson"/>
    <s v="South"/>
    <x v="0"/>
    <n v="804.45"/>
    <n v="5"/>
    <n v="0.2"/>
    <x v="50"/>
    <n v="257.42"/>
    <s v="High Discount"/>
    <d v="2026-02-27T20:31:00"/>
    <x v="1"/>
    <x v="72"/>
  </r>
  <r>
    <s v="CUST024"/>
    <s v="Emma Davis"/>
    <s v="West"/>
    <x v="2"/>
    <n v="1526.6"/>
    <n v="13"/>
    <n v="0.2"/>
    <x v="51"/>
    <n v="305.32"/>
    <s v="High Discount"/>
    <d v="2026-02-27T20:31:00"/>
    <x v="0"/>
    <x v="73"/>
  </r>
  <r>
    <s v="CUST012"/>
    <s v="Linda Wilson"/>
    <s v="West"/>
    <x v="2"/>
    <n v="1215.26"/>
    <n v="5"/>
    <n v="0.15"/>
    <x v="52"/>
    <n v="258.24"/>
    <s v="Medium Discount"/>
    <d v="2026-02-27T20:31:00"/>
    <x v="0"/>
    <x v="74"/>
  </r>
  <r>
    <s v="CUST005"/>
    <s v="Linda Taylor"/>
    <s v="Central"/>
    <x v="3"/>
    <n v="1261.3399999999999"/>
    <n v="3"/>
    <n v="0"/>
    <x v="53"/>
    <n v="441.47"/>
    <s v="No Discount"/>
    <d v="2026-02-27T20:31:00"/>
    <x v="0"/>
    <x v="75"/>
  </r>
  <r>
    <s v="CUST004"/>
    <s v="Lisa Thomas"/>
    <s v="North"/>
    <x v="3"/>
    <n v="518.07000000000005"/>
    <n v="7"/>
    <n v="0.05"/>
    <x v="54"/>
    <n v="172.26"/>
    <s v="Low Discount"/>
    <d v="2026-02-27T20:31:00"/>
    <x v="1"/>
    <x v="76"/>
  </r>
  <r>
    <s v="CUST026"/>
    <s v="Linda Wilson"/>
    <s v="West"/>
    <x v="4"/>
    <n v="1111.3399999999999"/>
    <n v="1"/>
    <n v="0"/>
    <x v="55"/>
    <n v="500.1"/>
    <s v="No Discount"/>
    <d v="2026-02-27T20:31:00"/>
    <x v="0"/>
    <x v="77"/>
  </r>
  <r>
    <s v="CUST030"/>
    <s v="Mary Davis"/>
    <s v="East"/>
    <x v="1"/>
    <n v="1291.47"/>
    <n v="18"/>
    <n v="0.1"/>
    <x v="56"/>
    <n v="581.16"/>
    <s v="Low Discount"/>
    <d v="2026-02-27T20:31:00"/>
    <x v="0"/>
    <x v="78"/>
  </r>
  <r>
    <s v="CUST007"/>
    <s v="David Brown"/>
    <s v="North"/>
    <x v="0"/>
    <n v="679.71"/>
    <n v="19"/>
    <n v="0"/>
    <x v="57"/>
    <n v="271.88"/>
    <s v="No Discount"/>
    <d v="2026-02-27T20:31:00"/>
    <x v="1"/>
    <x v="79"/>
  </r>
  <r>
    <s v="CUST020"/>
    <s v="Linda Jackson"/>
    <s v="East"/>
    <x v="3"/>
    <n v="1143.69"/>
    <n v="17"/>
    <n v="0"/>
    <x v="57"/>
    <n v="400.29"/>
    <s v="No Discount"/>
    <d v="2026-02-27T20:31:00"/>
    <x v="0"/>
    <x v="80"/>
  </r>
  <r>
    <s v="CUST028"/>
    <s v="Linda Brown"/>
    <s v="Central"/>
    <x v="2"/>
    <n v="790.08"/>
    <n v="7"/>
    <n v="0.1"/>
    <x v="58"/>
    <n v="177.77"/>
    <s v="Low Discount"/>
    <d v="2026-02-27T20:31:00"/>
    <x v="1"/>
    <x v="81"/>
  </r>
  <r>
    <s v="CUST005"/>
    <s v="Lisa Davis"/>
    <s v="Central"/>
    <x v="0"/>
    <n v="1070.68"/>
    <n v="7"/>
    <n v="0.05"/>
    <x v="58"/>
    <n v="406.86"/>
    <s v="Low Discount"/>
    <d v="2026-02-27T20:31:00"/>
    <x v="0"/>
    <x v="82"/>
  </r>
  <r>
    <s v="CUST015"/>
    <s v="David Thomas"/>
    <s v="West"/>
    <x v="1"/>
    <n v="1168.8900000000001"/>
    <n v="4"/>
    <n v="0.1"/>
    <x v="59"/>
    <n v="526"/>
    <s v="Low Discount"/>
    <d v="2026-02-27T20:31:00"/>
    <x v="0"/>
    <x v="83"/>
  </r>
  <r>
    <s v="CUST003"/>
    <s v="James Davis"/>
    <s v="South"/>
    <x v="2"/>
    <n v="1335.87"/>
    <n v="17"/>
    <n v="0"/>
    <x v="59"/>
    <n v="333.97"/>
    <s v="No Discount"/>
    <d v="2026-02-27T20:31:00"/>
    <x v="0"/>
    <x v="84"/>
  </r>
  <r>
    <s v="CUST023"/>
    <s v="David Brown"/>
    <s v="East"/>
    <x v="3"/>
    <n v="873.7"/>
    <n v="9"/>
    <n v="0"/>
    <x v="60"/>
    <n v="305.8"/>
    <s v="No Discount"/>
    <d v="2026-02-27T20:31:00"/>
    <x v="1"/>
    <x v="85"/>
  </r>
  <r>
    <s v="CUST004"/>
    <s v="Sarah Davis"/>
    <s v="West"/>
    <x v="4"/>
    <n v="1443.98"/>
    <n v="19"/>
    <n v="0"/>
    <x v="61"/>
    <n v="649.79"/>
    <s v="No Discount"/>
    <d v="2026-02-27T20:31:00"/>
    <x v="0"/>
    <x v="86"/>
  </r>
  <r>
    <s v="CUST023"/>
    <s v="James Wilson"/>
    <s v="East"/>
    <x v="4"/>
    <n v="1154.33"/>
    <n v="11"/>
    <n v="0.15"/>
    <x v="62"/>
    <n v="441.53"/>
    <s v="Medium Discount"/>
    <d v="2026-02-27T20:31:00"/>
    <x v="0"/>
    <x v="87"/>
  </r>
  <r>
    <s v="CUST022"/>
    <s v="Linda Brown"/>
    <s v="South"/>
    <x v="0"/>
    <n v="1264.49"/>
    <n v="16"/>
    <n v="0.05"/>
    <x v="62"/>
    <n v="480.51"/>
    <s v="Low Discount"/>
    <d v="2026-02-27T20:31:00"/>
    <x v="0"/>
    <x v="88"/>
  </r>
  <r>
    <s v="CUST007"/>
    <s v="Emma Taylor"/>
    <s v="West"/>
    <x v="3"/>
    <n v="1101.55"/>
    <n v="4"/>
    <n v="0.1"/>
    <x v="63"/>
    <n v="346.99"/>
    <s v="Low Discount"/>
    <d v="2026-02-27T20:31:00"/>
    <x v="0"/>
    <x v="89"/>
  </r>
  <r>
    <s v="CUST013"/>
    <s v="Robert Anderson"/>
    <s v="South"/>
    <x v="3"/>
    <n v="727.73"/>
    <n v="1"/>
    <n v="0.1"/>
    <x v="64"/>
    <n v="229.23"/>
    <s v="Low Discount"/>
    <d v="2026-02-27T20:31:00"/>
    <x v="1"/>
    <x v="90"/>
  </r>
  <r>
    <s v="CUST027"/>
    <s v="Emma Davis"/>
    <s v="East"/>
    <x v="4"/>
    <n v="875.41"/>
    <n v="13"/>
    <n v="0.15"/>
    <x v="64"/>
    <n v="334.84"/>
    <s v="Medium Discount"/>
    <d v="2026-02-27T20:31:00"/>
    <x v="1"/>
    <x v="91"/>
  </r>
  <r>
    <s v="CUST003"/>
    <s v="James Wilson"/>
    <s v="West"/>
    <x v="2"/>
    <n v="1158.94"/>
    <n v="19"/>
    <n v="0.2"/>
    <x v="65"/>
    <n v="231.79"/>
    <s v="High Discount"/>
    <d v="2026-02-27T20:31:00"/>
    <x v="0"/>
    <x v="92"/>
  </r>
  <r>
    <s v="CUST018"/>
    <s v="Mary Jackson"/>
    <s v="South"/>
    <x v="0"/>
    <n v="966.3"/>
    <n v="2"/>
    <n v="0.15"/>
    <x v="66"/>
    <n v="328.54"/>
    <s v="Medium Discount"/>
    <d v="2026-02-27T20:31:00"/>
    <x v="1"/>
    <x v="93"/>
  </r>
  <r>
    <s v="CUST020"/>
    <s v="James Taylor"/>
    <s v="South"/>
    <x v="0"/>
    <n v="917.48"/>
    <n v="6"/>
    <n v="0"/>
    <x v="67"/>
    <n v="366.99"/>
    <s v="No Discount"/>
    <d v="2026-02-27T20:31:00"/>
    <x v="1"/>
    <x v="94"/>
  </r>
  <r>
    <s v="CUST029"/>
    <s v="Emma Wilson"/>
    <s v="West"/>
    <x v="3"/>
    <n v="1172.97"/>
    <n v="7"/>
    <n v="0.15"/>
    <x v="68"/>
    <n v="348.96"/>
    <s v="Medium Discount"/>
    <d v="2026-02-27T20:31:00"/>
    <x v="0"/>
    <x v="95"/>
  </r>
  <r>
    <s v="CUST021"/>
    <s v="James Wilson"/>
    <s v="North"/>
    <x v="1"/>
    <n v="1205.82"/>
    <n v="11"/>
    <n v="0.1"/>
    <x v="68"/>
    <n v="542.62"/>
    <s v="Low Discount"/>
    <d v="2026-02-27T20:31:00"/>
    <x v="0"/>
    <x v="96"/>
  </r>
  <r>
    <s v="CUST017"/>
    <s v="Sarah Davis"/>
    <s v="West"/>
    <x v="4"/>
    <n v="826.93"/>
    <n v="10"/>
    <n v="0.2"/>
    <x v="69"/>
    <n v="297.69"/>
    <s v="High Discount"/>
    <d v="2026-02-27T20:31:00"/>
    <x v="1"/>
    <x v="97"/>
  </r>
  <r>
    <s v="CUST003"/>
    <s v="James Wilson"/>
    <s v="Central"/>
    <x v="1"/>
    <n v="902.19"/>
    <n v="12"/>
    <n v="0"/>
    <x v="69"/>
    <n v="451.1"/>
    <s v="No Discount"/>
    <d v="2026-02-27T20:31:00"/>
    <x v="1"/>
    <x v="98"/>
  </r>
  <r>
    <s v="CUST027"/>
    <s v="Emma Davis"/>
    <s v="North"/>
    <x v="0"/>
    <n v="585.97"/>
    <n v="17"/>
    <n v="0.1"/>
    <x v="70"/>
    <n v="210.95"/>
    <s v="Low Discount"/>
    <d v="2026-02-27T20:31:00"/>
    <x v="1"/>
    <x v="99"/>
  </r>
  <r>
    <s v="CUST016"/>
    <s v="Michael Anderson"/>
    <s v="North"/>
    <x v="1"/>
    <n v="990.19"/>
    <n v="8"/>
    <n v="0.1"/>
    <x v="70"/>
    <n v="445.59"/>
    <s v="Low Discount"/>
    <d v="2026-02-27T20:31:00"/>
    <x v="1"/>
    <x v="100"/>
  </r>
  <r>
    <s v="CUST008"/>
    <s v="David Davis"/>
    <s v="Central"/>
    <x v="2"/>
    <n v="1014.09"/>
    <n v="13"/>
    <n v="0.2"/>
    <x v="71"/>
    <n v="202.82"/>
    <s v="High Discount"/>
    <d v="2026-02-27T20:31:00"/>
    <x v="0"/>
    <x v="101"/>
  </r>
  <r>
    <s v="CUST012"/>
    <s v="Lisa Davis"/>
    <s v="North"/>
    <x v="2"/>
    <n v="925.29"/>
    <n v="17"/>
    <n v="0"/>
    <x v="72"/>
    <n v="231.32"/>
    <s v="No Discount"/>
    <d v="2026-02-27T20:31:00"/>
    <x v="1"/>
    <x v="102"/>
  </r>
  <r>
    <s v="CUST025"/>
    <s v="Mary Jackson"/>
    <s v="East"/>
    <x v="3"/>
    <n v="1286.54"/>
    <n v="8"/>
    <n v="0"/>
    <x v="73"/>
    <n v="450.29"/>
    <s v="No Discount"/>
    <d v="2026-02-27T20:31:00"/>
    <x v="0"/>
    <x v="103"/>
  </r>
  <r>
    <s v="CUST014"/>
    <s v="Sarah Davis"/>
    <s v="South"/>
    <x v="0"/>
    <n v="961.62"/>
    <n v="8"/>
    <n v="0.2"/>
    <x v="74"/>
    <n v="307.72000000000003"/>
    <s v="High Discount"/>
    <d v="2026-02-27T20:31:00"/>
    <x v="1"/>
    <x v="104"/>
  </r>
  <r>
    <s v="CUST008"/>
    <s v="James Wilson"/>
    <s v="East"/>
    <x v="0"/>
    <n v="1081.1400000000001"/>
    <n v="19"/>
    <n v="0.15"/>
    <x v="74"/>
    <n v="367.59"/>
    <s v="Medium Discount"/>
    <d v="2026-02-27T20:31:00"/>
    <x v="0"/>
    <x v="105"/>
  </r>
  <r>
    <s v="CUST015"/>
    <s v="James Wilson"/>
    <s v="West"/>
    <x v="1"/>
    <n v="1923.66"/>
    <n v="9"/>
    <n v="0.2"/>
    <x v="75"/>
    <n v="769.46"/>
    <s v="High Discount"/>
    <d v="2026-02-27T20:31:00"/>
    <x v="0"/>
    <x v="106"/>
  </r>
  <r>
    <s v="CUST025"/>
    <s v="Emma Taylor"/>
    <s v="Central"/>
    <x v="1"/>
    <n v="728.71"/>
    <n v="14"/>
    <n v="0.1"/>
    <x v="76"/>
    <n v="327.92"/>
    <s v="Low Discount"/>
    <d v="2026-02-27T20:31:00"/>
    <x v="1"/>
    <x v="107"/>
  </r>
  <r>
    <s v="CUST019"/>
    <s v="Linda Jackson"/>
    <s v="Central"/>
    <x v="1"/>
    <n v="1301.8900000000001"/>
    <n v="7"/>
    <n v="0.15"/>
    <x v="76"/>
    <n v="553.29999999999995"/>
    <s v="Medium Discount"/>
    <d v="2026-02-27T20:31:00"/>
    <x v="0"/>
    <x v="108"/>
  </r>
  <r>
    <s v="CUST024"/>
    <s v="Emma Taylor"/>
    <s v="East"/>
    <x v="0"/>
    <n v="980.18"/>
    <n v="16"/>
    <n v="0.1"/>
    <x v="77"/>
    <n v="352.86"/>
    <s v="Low Discount"/>
    <d v="2026-02-27T20:31:00"/>
    <x v="1"/>
    <x v="109"/>
  </r>
  <r>
    <s v="CUST027"/>
    <s v="James Wilson"/>
    <s v="West"/>
    <x v="1"/>
    <n v="697.57"/>
    <n v="17"/>
    <n v="0.1"/>
    <x v="78"/>
    <n v="313.91000000000003"/>
    <s v="Low Discount"/>
    <d v="2026-02-27T20:31:00"/>
    <x v="1"/>
    <x v="110"/>
  </r>
  <r>
    <s v="CUST006"/>
    <s v="David Anderson"/>
    <s v="West"/>
    <x v="3"/>
    <n v="1193.6099999999999"/>
    <n v="1"/>
    <n v="0.15"/>
    <x v="78"/>
    <n v="355.1"/>
    <s v="Medium Discount"/>
    <d v="2026-02-27T20:31:00"/>
    <x v="0"/>
    <x v="111"/>
  </r>
  <r>
    <s v="CUST009"/>
    <s v="Emma Davis"/>
    <s v="South"/>
    <x v="2"/>
    <n v="771.02"/>
    <n v="1"/>
    <n v="0"/>
    <x v="79"/>
    <n v="192.76"/>
    <s v="No Discount"/>
    <d v="2026-02-27T20:31:00"/>
    <x v="1"/>
    <x v="112"/>
  </r>
  <r>
    <s v="CUST003"/>
    <s v="Linda Moore"/>
    <s v="North"/>
    <x v="1"/>
    <n v="661.09"/>
    <n v="1"/>
    <n v="0.2"/>
    <x v="80"/>
    <n v="264.44"/>
    <s v="High Discount"/>
    <d v="2026-02-27T20:31:00"/>
    <x v="1"/>
    <x v="113"/>
  </r>
  <r>
    <s v="CUST012"/>
    <s v="David Brown"/>
    <s v="West"/>
    <x v="2"/>
    <n v="688.83"/>
    <n v="15"/>
    <n v="0"/>
    <x v="81"/>
    <n v="172.21"/>
    <s v="No Discount"/>
    <d v="2026-02-27T20:31:00"/>
    <x v="1"/>
    <x v="114"/>
  </r>
  <r>
    <s v="CUST013"/>
    <s v="Linda Wilson"/>
    <s v="Central"/>
    <x v="0"/>
    <n v="1249.0999999999999"/>
    <n v="4"/>
    <n v="0.05"/>
    <x v="82"/>
    <n v="474.66"/>
    <s v="Low Discount"/>
    <d v="2026-02-27T20:31:00"/>
    <x v="0"/>
    <x v="115"/>
  </r>
  <r>
    <s v="CUST008"/>
    <s v="James Wilson"/>
    <s v="East"/>
    <x v="4"/>
    <n v="1014.22"/>
    <n v="14"/>
    <n v="0.05"/>
    <x v="83"/>
    <n v="433.58"/>
    <s v="Low Discount"/>
    <d v="2026-02-27T20:31:00"/>
    <x v="0"/>
    <x v="116"/>
  </r>
  <r>
    <s v="CUST025"/>
    <s v="Lisa Davis"/>
    <s v="East"/>
    <x v="0"/>
    <n v="1010.58"/>
    <n v="2"/>
    <n v="0.15"/>
    <x v="84"/>
    <n v="343.6"/>
    <s v="Medium Discount"/>
    <d v="2026-02-27T20:31:00"/>
    <x v="0"/>
    <x v="117"/>
  </r>
  <r>
    <s v="CUST026"/>
    <s v="Mary Wilson"/>
    <s v="North"/>
    <x v="3"/>
    <n v="957.29"/>
    <n v="4"/>
    <n v="0.05"/>
    <x v="84"/>
    <n v="318.3"/>
    <s v="Low Discount"/>
    <d v="2026-02-27T20:31:00"/>
    <x v="1"/>
    <x v="118"/>
  </r>
  <r>
    <s v="CUST001"/>
    <s v="Lisa Thomas"/>
    <s v="North"/>
    <x v="3"/>
    <n v="1077.92"/>
    <n v="3"/>
    <n v="0.05"/>
    <x v="85"/>
    <n v="358.41"/>
    <s v="Low Discount"/>
    <d v="2026-02-27T20:31:00"/>
    <x v="0"/>
    <x v="119"/>
  </r>
  <r>
    <s v="CUST028"/>
    <s v="Linda Brown"/>
    <s v="South"/>
    <x v="1"/>
    <n v="1163.01"/>
    <n v="5"/>
    <n v="0"/>
    <x v="86"/>
    <n v="581.5"/>
    <s v="No Discount"/>
    <d v="2026-02-27T20:31:00"/>
    <x v="0"/>
    <x v="120"/>
  </r>
  <r>
    <s v="CUST025"/>
    <s v="Lisa Thomas"/>
    <s v="East"/>
    <x v="4"/>
    <n v="1014.56"/>
    <n v="10"/>
    <n v="0.1"/>
    <x v="87"/>
    <n v="410.9"/>
    <s v="Low Discount"/>
    <d v="2026-02-27T20:31:00"/>
    <x v="0"/>
    <x v="121"/>
  </r>
  <r>
    <s v="CUST019"/>
    <s v="James Taylor"/>
    <s v="South"/>
    <x v="2"/>
    <n v="718.04"/>
    <n v="14"/>
    <n v="0"/>
    <x v="88"/>
    <n v="179.51"/>
    <s v="No Discount"/>
    <d v="2026-02-27T20:31:00"/>
    <x v="1"/>
    <x v="25"/>
  </r>
  <r>
    <s v="CUST004"/>
    <s v="James Taylor"/>
    <s v="Central"/>
    <x v="1"/>
    <n v="1277.8499999999999"/>
    <n v="18"/>
    <n v="0.2"/>
    <x v="88"/>
    <n v="511.14"/>
    <s v="High Discount"/>
    <d v="2026-02-27T20:31:00"/>
    <x v="0"/>
    <x v="122"/>
  </r>
  <r>
    <s v="CUST024"/>
    <s v="James Wilson"/>
    <s v="North"/>
    <x v="2"/>
    <n v="706.73"/>
    <n v="1"/>
    <n v="0.15"/>
    <x v="88"/>
    <n v="150.18"/>
    <s v="Medium Discount"/>
    <d v="2026-02-27T20:31:00"/>
    <x v="1"/>
    <x v="123"/>
  </r>
  <r>
    <s v="CUST002"/>
    <s v="Linda Brown"/>
    <s v="East"/>
    <x v="2"/>
    <n v="1410.59"/>
    <n v="15"/>
    <n v="0"/>
    <x v="89"/>
    <n v="352.65"/>
    <s v="No Discount"/>
    <d v="2026-02-27T20:31:00"/>
    <x v="0"/>
    <x v="124"/>
  </r>
  <r>
    <s v="CUST009"/>
    <s v="Emma Wilson"/>
    <s v="South"/>
    <x v="3"/>
    <n v="1350.33"/>
    <n v="10"/>
    <n v="0"/>
    <x v="89"/>
    <n v="472.62"/>
    <s v="No Discount"/>
    <d v="2026-02-27T20:31:00"/>
    <x v="0"/>
    <x v="125"/>
  </r>
  <r>
    <s v="CUST029"/>
    <s v="Lisa Thomas"/>
    <s v="East"/>
    <x v="2"/>
    <n v="919.18"/>
    <n v="4"/>
    <n v="0.15"/>
    <x v="89"/>
    <n v="195.33"/>
    <s v="Medium Discount"/>
    <d v="2026-02-27T20:31:00"/>
    <x v="1"/>
    <x v="126"/>
  </r>
  <r>
    <s v="CUST027"/>
    <s v="James Wilson"/>
    <s v="West"/>
    <x v="2"/>
    <n v="258.51"/>
    <n v="19"/>
    <n v="0"/>
    <x v="90"/>
    <n v="64.63"/>
    <s v="No Discount"/>
    <d v="2026-02-27T20:31:00"/>
    <x v="1"/>
    <x v="127"/>
  </r>
  <r>
    <s v="CUST011"/>
    <s v="Emma Wilson"/>
    <s v="East"/>
    <x v="0"/>
    <n v="1213.48"/>
    <n v="5"/>
    <n v="0.05"/>
    <x v="90"/>
    <n v="461.12"/>
    <s v="Low Discount"/>
    <d v="2026-02-27T20:31:00"/>
    <x v="0"/>
    <x v="128"/>
  </r>
  <r>
    <s v="CUST021"/>
    <s v="Emma Davis"/>
    <s v="Central"/>
    <x v="0"/>
    <n v="1150.28"/>
    <n v="8"/>
    <n v="0.05"/>
    <x v="91"/>
    <n v="437.11"/>
    <s v="Low Discount"/>
    <d v="2026-02-27T20:31:00"/>
    <x v="0"/>
    <x v="129"/>
  </r>
  <r>
    <s v="CUST014"/>
    <s v="David Anderson"/>
    <s v="South"/>
    <x v="3"/>
    <n v="853.86"/>
    <n v="8"/>
    <n v="0.1"/>
    <x v="91"/>
    <n v="268.97000000000003"/>
    <s v="Low Discount"/>
    <d v="2026-02-27T20:31:00"/>
    <x v="1"/>
    <x v="130"/>
  </r>
  <r>
    <s v="CUST018"/>
    <s v="Lisa Thomas"/>
    <s v="South"/>
    <x v="2"/>
    <n v="1061.04"/>
    <n v="1"/>
    <n v="0"/>
    <x v="92"/>
    <n v="265.26"/>
    <s v="No Discount"/>
    <d v="2026-02-27T20:31:00"/>
    <x v="0"/>
    <x v="25"/>
  </r>
  <r>
    <s v="CUST001"/>
    <s v="Sarah Anderson"/>
    <s v="West"/>
    <x v="2"/>
    <n v="894.55"/>
    <n v="19"/>
    <n v="0.2"/>
    <x v="93"/>
    <n v="178.91"/>
    <s v="High Discount"/>
    <d v="2026-02-27T20:31:00"/>
    <x v="1"/>
    <x v="73"/>
  </r>
  <r>
    <s v="CUST007"/>
    <s v="Emma Davis"/>
    <s v="North"/>
    <x v="4"/>
    <n v="833.91"/>
    <n v="3"/>
    <n v="0.05"/>
    <x v="94"/>
    <n v="356.5"/>
    <s v="Low Discount"/>
    <d v="2026-02-27T20:31:00"/>
    <x v="1"/>
    <x v="131"/>
  </r>
  <r>
    <s v="CUST015"/>
    <s v="David Anderson"/>
    <s v="West"/>
    <x v="3"/>
    <n v="820.19"/>
    <n v="4"/>
    <n v="0.2"/>
    <x v="95"/>
    <n v="229.65"/>
    <s v="High Discount"/>
    <d v="2026-02-27T20:31:00"/>
    <x v="1"/>
    <x v="132"/>
  </r>
  <r>
    <s v="CUST015"/>
    <s v="Emma Davis"/>
    <s v="Central"/>
    <x v="2"/>
    <n v="511.74"/>
    <n v="8"/>
    <n v="0.05"/>
    <x v="96"/>
    <n v="121.54"/>
    <s v="Low Discount"/>
    <d v="2026-02-27T20:31:00"/>
    <x v="1"/>
    <x v="133"/>
  </r>
  <r>
    <s v="CUST002"/>
    <s v="Emma Wilson"/>
    <s v="South"/>
    <x v="3"/>
    <n v="806.03"/>
    <n v="19"/>
    <n v="0.05"/>
    <x v="97"/>
    <n v="268"/>
    <s v="Low Discount"/>
    <d v="2026-02-27T20:31:00"/>
    <x v="1"/>
    <x v="134"/>
  </r>
  <r>
    <s v="CUST001"/>
    <s v="Michael Anderson"/>
    <s v="Central"/>
    <x v="3"/>
    <n v="1432.47"/>
    <n v="16"/>
    <n v="0.15"/>
    <x v="98"/>
    <n v="426.16"/>
    <s v="Medium Discount"/>
    <d v="2026-02-27T20:31:00"/>
    <x v="0"/>
    <x v="135"/>
  </r>
  <r>
    <s v="CUST027"/>
    <s v="Linda Wilson"/>
    <s v="Central"/>
    <x v="2"/>
    <n v="1488.58"/>
    <n v="10"/>
    <n v="0.15"/>
    <x v="98"/>
    <n v="316.32"/>
    <s v="Medium Discount"/>
    <d v="2026-02-27T20:31:00"/>
    <x v="0"/>
    <x v="136"/>
  </r>
  <r>
    <s v="CUST026"/>
    <s v="Emma Taylor"/>
    <s v="East"/>
    <x v="0"/>
    <n v="1231.26"/>
    <n v="9"/>
    <n v="0"/>
    <x v="99"/>
    <n v="492.5"/>
    <s v="No Discount"/>
    <d v="2026-02-27T20:31:00"/>
    <x v="0"/>
    <x v="137"/>
  </r>
  <r>
    <s v="CUST026"/>
    <s v="Sarah Anderson"/>
    <s v="West"/>
    <x v="2"/>
    <n v="1161.67"/>
    <n v="19"/>
    <n v="0.2"/>
    <x v="100"/>
    <n v="232.33"/>
    <s v="High Discount"/>
    <d v="2026-02-27T20:31:00"/>
    <x v="0"/>
    <x v="138"/>
  </r>
  <r>
    <s v="CUST022"/>
    <s v="Lisa Thomas"/>
    <s v="Central"/>
    <x v="4"/>
    <n v="388.23"/>
    <n v="16"/>
    <n v="0.05"/>
    <x v="101"/>
    <n v="165.97"/>
    <s v="Low Discount"/>
    <d v="2026-02-27T20:31:00"/>
    <x v="1"/>
    <x v="139"/>
  </r>
  <r>
    <s v="CUST004"/>
    <s v="Mary Davis"/>
    <s v="North"/>
    <x v="1"/>
    <n v="1589.42"/>
    <n v="6"/>
    <n v="0.15"/>
    <x v="102"/>
    <n v="675.5"/>
    <s v="Medium Discount"/>
    <d v="2026-02-27T20:31:00"/>
    <x v="0"/>
    <x v="140"/>
  </r>
  <r>
    <s v="CUST001"/>
    <s v="David Anderson"/>
    <s v="North"/>
    <x v="1"/>
    <n v="336.66"/>
    <n v="13"/>
    <n v="0.2"/>
    <x v="102"/>
    <n v="134.66"/>
    <s v="High Discount"/>
    <d v="2026-02-27T20:31:00"/>
    <x v="1"/>
    <x v="141"/>
  </r>
  <r>
    <s v="CUST022"/>
    <s v="James Wilson"/>
    <s v="West"/>
    <x v="0"/>
    <n v="1353.79"/>
    <n v="14"/>
    <n v="0.1"/>
    <x v="103"/>
    <n v="487.36"/>
    <s v="Low Discount"/>
    <d v="2026-02-27T20:31:00"/>
    <x v="0"/>
    <x v="142"/>
  </r>
  <r>
    <s v="CUST011"/>
    <s v="Linda Moore"/>
    <s v="Central"/>
    <x v="1"/>
    <n v="662.61"/>
    <n v="11"/>
    <n v="0.05"/>
    <x v="104"/>
    <n v="314.74"/>
    <s v="Low Discount"/>
    <d v="2026-02-27T20:31:00"/>
    <x v="1"/>
    <x v="143"/>
  </r>
  <r>
    <s v="CUST028"/>
    <s v="Lisa Davis"/>
    <s v="North"/>
    <x v="4"/>
    <n v="309.42"/>
    <n v="1"/>
    <n v="0.2"/>
    <x v="104"/>
    <n v="111.39"/>
    <s v="High Discount"/>
    <d v="2026-02-27T20:31:00"/>
    <x v="1"/>
    <x v="144"/>
  </r>
  <r>
    <s v="CUST011"/>
    <s v="Linda Wilson"/>
    <s v="North"/>
    <x v="0"/>
    <n v="884.63"/>
    <n v="18"/>
    <n v="0.1"/>
    <x v="105"/>
    <n v="318.47000000000003"/>
    <s v="Low Discount"/>
    <d v="2026-02-27T20:31:00"/>
    <x v="1"/>
    <x v="145"/>
  </r>
  <r>
    <s v="CUST028"/>
    <s v="James Wilson"/>
    <s v="Central"/>
    <x v="4"/>
    <n v="745.05"/>
    <n v="10"/>
    <n v="0.1"/>
    <x v="106"/>
    <n v="301.75"/>
    <s v="Low Discount"/>
    <d v="2026-02-27T20:31:00"/>
    <x v="1"/>
    <x v="146"/>
  </r>
  <r>
    <s v="CUST016"/>
    <s v="James Taylor"/>
    <s v="South"/>
    <x v="1"/>
    <n v="870.23"/>
    <n v="5"/>
    <n v="0.05"/>
    <x v="106"/>
    <n v="413.36"/>
    <s v="Low Discount"/>
    <d v="2026-02-27T20:31:00"/>
    <x v="1"/>
    <x v="147"/>
  </r>
  <r>
    <s v="CUST010"/>
    <s v="Linda Wilson"/>
    <s v="West"/>
    <x v="3"/>
    <n v="862.19"/>
    <n v="18"/>
    <n v="0.05"/>
    <x v="107"/>
    <n v="286.68"/>
    <s v="Low Discount"/>
    <d v="2026-02-27T20:31:00"/>
    <x v="1"/>
    <x v="148"/>
  </r>
  <r>
    <s v="CUST013"/>
    <s v="Mary Wilson"/>
    <s v="North"/>
    <x v="1"/>
    <n v="1171.18"/>
    <n v="19"/>
    <n v="0.05"/>
    <x v="108"/>
    <n v="556.30999999999995"/>
    <s v="Low Discount"/>
    <d v="2026-02-27T20:31:00"/>
    <x v="0"/>
    <x v="149"/>
  </r>
  <r>
    <s v="CUST015"/>
    <s v="Robert Anderson"/>
    <s v="South"/>
    <x v="3"/>
    <n v="1054.56"/>
    <n v="11"/>
    <n v="0.1"/>
    <x v="109"/>
    <n v="332.19"/>
    <s v="Low Discount"/>
    <d v="2026-02-27T20:31:00"/>
    <x v="0"/>
    <x v="150"/>
  </r>
  <r>
    <s v="CUST015"/>
    <s v="James Wilson"/>
    <s v="North"/>
    <x v="2"/>
    <n v="1681.21"/>
    <n v="5"/>
    <n v="0.2"/>
    <x v="110"/>
    <n v="336.24"/>
    <s v="High Discount"/>
    <d v="2026-02-27T20:31:00"/>
    <x v="0"/>
    <x v="151"/>
  </r>
  <r>
    <s v="CUST015"/>
    <s v="David Thomas"/>
    <s v="West"/>
    <x v="1"/>
    <n v="379.77"/>
    <n v="9"/>
    <n v="0.05"/>
    <x v="111"/>
    <n v="180.39"/>
    <s v="Low Discount"/>
    <d v="2026-02-27T20:31:00"/>
    <x v="1"/>
    <x v="152"/>
  </r>
  <r>
    <s v="CUST008"/>
    <s v="Lisa Thomas"/>
    <s v="Central"/>
    <x v="1"/>
    <n v="1076.33"/>
    <n v="2"/>
    <n v="0.1"/>
    <x v="112"/>
    <n v="484.35"/>
    <s v="Low Discount"/>
    <d v="2026-02-27T20:31:00"/>
    <x v="0"/>
    <x v="153"/>
  </r>
  <r>
    <s v="CUST008"/>
    <s v="Mary Davis"/>
    <s v="Central"/>
    <x v="4"/>
    <n v="1250.71"/>
    <n v="7"/>
    <n v="0"/>
    <x v="112"/>
    <n v="562.82000000000005"/>
    <s v="No Discount"/>
    <d v="2026-02-27T20:31:00"/>
    <x v="0"/>
    <x v="154"/>
  </r>
  <r>
    <s v="CUST023"/>
    <s v="James Taylor"/>
    <s v="South"/>
    <x v="1"/>
    <n v="1118.3399999999999"/>
    <n v="6"/>
    <n v="0.2"/>
    <x v="112"/>
    <n v="447.34"/>
    <s v="High Discount"/>
    <d v="2026-02-27T20:31:00"/>
    <x v="0"/>
    <x v="155"/>
  </r>
  <r>
    <s v="CUST024"/>
    <s v="Linda Taylor"/>
    <s v="North"/>
    <x v="1"/>
    <n v="1622.62"/>
    <n v="12"/>
    <n v="0.2"/>
    <x v="113"/>
    <n v="649.04999999999995"/>
    <s v="High Discount"/>
    <d v="2026-02-27T20:31:00"/>
    <x v="0"/>
    <x v="156"/>
  </r>
  <r>
    <s v="CUST018"/>
    <s v="Lisa Davis"/>
    <s v="North"/>
    <x v="0"/>
    <n v="640.64"/>
    <n v="11"/>
    <n v="0.2"/>
    <x v="114"/>
    <n v="205"/>
    <s v="High Discount"/>
    <d v="2026-02-27T20:31:00"/>
    <x v="1"/>
    <x v="157"/>
  </r>
  <r>
    <s v="CUST030"/>
    <s v="Sarah Anderson"/>
    <s v="West"/>
    <x v="1"/>
    <n v="585.16"/>
    <n v="17"/>
    <n v="0.1"/>
    <x v="115"/>
    <n v="263.32"/>
    <s v="Low Discount"/>
    <d v="2026-02-27T20:31:00"/>
    <x v="1"/>
    <x v="158"/>
  </r>
  <r>
    <s v="CUST030"/>
    <s v="Mary Davis"/>
    <s v="East"/>
    <x v="1"/>
    <n v="1109.98"/>
    <n v="5"/>
    <n v="0.2"/>
    <x v="116"/>
    <n v="443.99"/>
    <s v="High Discount"/>
    <d v="2026-02-27T20:31:00"/>
    <x v="0"/>
    <x v="159"/>
  </r>
  <r>
    <s v="CUST015"/>
    <s v="Lisa Thomas"/>
    <s v="East"/>
    <x v="0"/>
    <n v="1098.08"/>
    <n v="9"/>
    <n v="0.1"/>
    <x v="117"/>
    <n v="395.31"/>
    <s v="Low Discount"/>
    <d v="2026-02-27T20:31:00"/>
    <x v="0"/>
    <x v="160"/>
  </r>
  <r>
    <s v="CUST002"/>
    <s v="Lisa Davis"/>
    <s v="West"/>
    <x v="4"/>
    <n v="827.25"/>
    <n v="7"/>
    <n v="0.1"/>
    <x v="118"/>
    <n v="335.04"/>
    <s v="Low Discount"/>
    <d v="2026-02-27T20:31:00"/>
    <x v="1"/>
    <x v="161"/>
  </r>
  <r>
    <s v="CUST024"/>
    <s v="Linda Wilson"/>
    <s v="Central"/>
    <x v="1"/>
    <n v="741.88"/>
    <n v="16"/>
    <n v="0.1"/>
    <x v="119"/>
    <n v="333.85"/>
    <s v="Low Discount"/>
    <d v="2026-02-27T20:31:00"/>
    <x v="1"/>
    <x v="162"/>
  </r>
  <r>
    <s v="CUST004"/>
    <s v="James Davis"/>
    <s v="East"/>
    <x v="4"/>
    <n v="1311.26"/>
    <n v="6"/>
    <n v="0.1"/>
    <x v="120"/>
    <n v="531.05999999999995"/>
    <s v="Low Discount"/>
    <d v="2026-02-27T20:31:00"/>
    <x v="0"/>
    <x v="163"/>
  </r>
  <r>
    <s v="CUST004"/>
    <s v="Mary Davis"/>
    <s v="South"/>
    <x v="4"/>
    <n v="573.32000000000005"/>
    <n v="19"/>
    <n v="0.1"/>
    <x v="121"/>
    <n v="232.19"/>
    <s v="Low Discount"/>
    <d v="2026-02-27T20:31:00"/>
    <x v="1"/>
    <x v="164"/>
  </r>
  <r>
    <s v="CUST028"/>
    <s v="James Wilson"/>
    <s v="West"/>
    <x v="2"/>
    <n v="1115.22"/>
    <n v="14"/>
    <n v="0.2"/>
    <x v="122"/>
    <n v="223.04"/>
    <s v="High Discount"/>
    <d v="2026-02-27T20:31:00"/>
    <x v="0"/>
    <x v="165"/>
  </r>
  <r>
    <s v="CUST012"/>
    <s v="Lisa Thomas"/>
    <s v="North"/>
    <x v="1"/>
    <n v="845.84"/>
    <n v="4"/>
    <n v="0"/>
    <x v="123"/>
    <n v="422.92"/>
    <s v="No Discount"/>
    <d v="2026-02-27T20:31:00"/>
    <x v="1"/>
    <x v="20"/>
  </r>
  <r>
    <s v="CUST026"/>
    <s v="David Brown"/>
    <s v="West"/>
    <x v="2"/>
    <n v="1029.8"/>
    <n v="3"/>
    <n v="0"/>
    <x v="124"/>
    <n v="257.45"/>
    <s v="No Discount"/>
    <d v="2026-02-27T20:31:00"/>
    <x v="0"/>
    <x v="25"/>
  </r>
  <r>
    <s v="CUST009"/>
    <s v="Mary Davis"/>
    <s v="North"/>
    <x v="0"/>
    <n v="1189.83"/>
    <n v="2"/>
    <n v="0.2"/>
    <x v="125"/>
    <n v="380.75"/>
    <s v="High Discount"/>
    <d v="2026-02-27T20:31:00"/>
    <x v="0"/>
    <x v="166"/>
  </r>
  <r>
    <s v="CUST003"/>
    <s v="Sarah Anderson"/>
    <s v="South"/>
    <x v="0"/>
    <n v="704.28"/>
    <n v="15"/>
    <n v="0.2"/>
    <x v="126"/>
    <n v="225.37"/>
    <s v="High Discount"/>
    <d v="2026-02-27T20:31:00"/>
    <x v="1"/>
    <x v="167"/>
  </r>
  <r>
    <s v="CUST002"/>
    <s v="Mary Jackson"/>
    <s v="Central"/>
    <x v="4"/>
    <n v="1618.22"/>
    <n v="12"/>
    <n v="0.2"/>
    <x v="126"/>
    <n v="582.55999999999995"/>
    <s v="High Discount"/>
    <d v="2026-02-27T20:31:00"/>
    <x v="0"/>
    <x v="168"/>
  </r>
  <r>
    <s v="CUST013"/>
    <s v="Linda Taylor"/>
    <s v="Central"/>
    <x v="0"/>
    <n v="1014.43"/>
    <n v="2"/>
    <n v="0.15"/>
    <x v="127"/>
    <n v="344.91"/>
    <s v="Medium Discount"/>
    <d v="2026-02-27T20:31:00"/>
    <x v="0"/>
    <x v="169"/>
  </r>
  <r>
    <s v="CUST018"/>
    <s v="Mary Davis"/>
    <s v="Central"/>
    <x v="1"/>
    <n v="826.97"/>
    <n v="18"/>
    <n v="0.2"/>
    <x v="128"/>
    <n v="330.79"/>
    <s v="High Discount"/>
    <d v="2026-02-27T20:31:00"/>
    <x v="1"/>
    <x v="170"/>
  </r>
  <r>
    <s v="CUST017"/>
    <s v="Mary Davis"/>
    <s v="Central"/>
    <x v="1"/>
    <n v="1022.23"/>
    <n v="8"/>
    <n v="0.1"/>
    <x v="129"/>
    <n v="460"/>
    <s v="Low Discount"/>
    <d v="2026-02-27T20:31:00"/>
    <x v="0"/>
    <x v="171"/>
  </r>
  <r>
    <s v="CUST004"/>
    <s v="Linda Wilson"/>
    <s v="East"/>
    <x v="0"/>
    <n v="1099.69"/>
    <n v="6"/>
    <n v="0"/>
    <x v="130"/>
    <n v="439.88"/>
    <s v="No Discount"/>
    <d v="2026-02-27T20:31:00"/>
    <x v="0"/>
    <x v="172"/>
  </r>
  <r>
    <s v="CUST028"/>
    <s v="Sarah Davis"/>
    <s v="North"/>
    <x v="0"/>
    <n v="710.52"/>
    <n v="8"/>
    <n v="0.1"/>
    <x v="131"/>
    <n v="255.79"/>
    <s v="Low Discount"/>
    <d v="2026-02-27T20:31:00"/>
    <x v="1"/>
    <x v="173"/>
  </r>
  <r>
    <s v="CUST028"/>
    <s v="Mary Wilson"/>
    <s v="North"/>
    <x v="0"/>
    <n v="499.18"/>
    <n v="15"/>
    <n v="0.2"/>
    <x v="132"/>
    <n v="159.74"/>
    <s v="High Discount"/>
    <d v="2026-02-27T20:31:00"/>
    <x v="1"/>
    <x v="174"/>
  </r>
  <r>
    <s v="CUST014"/>
    <s v="Emma Davis"/>
    <s v="South"/>
    <x v="0"/>
    <n v="1064.19"/>
    <n v="18"/>
    <n v="0.05"/>
    <x v="133"/>
    <n v="404.39"/>
    <s v="Low Discount"/>
    <d v="2026-02-27T20:31:00"/>
    <x v="0"/>
    <x v="175"/>
  </r>
  <r>
    <s v="CUST003"/>
    <s v="Emma Davis"/>
    <s v="East"/>
    <x v="4"/>
    <n v="438.76"/>
    <n v="18"/>
    <n v="0.05"/>
    <x v="134"/>
    <n v="187.57"/>
    <s v="Low Discount"/>
    <d v="2026-02-27T20:31:00"/>
    <x v="1"/>
    <x v="176"/>
  </r>
  <r>
    <s v="CUST029"/>
    <s v="David Brown"/>
    <s v="West"/>
    <x v="1"/>
    <n v="864.98"/>
    <n v="2"/>
    <n v="0.05"/>
    <x v="135"/>
    <n v="410.87"/>
    <s v="Low Discount"/>
    <d v="2026-02-27T20:31:00"/>
    <x v="1"/>
    <x v="177"/>
  </r>
  <r>
    <s v="CUST021"/>
    <s v="David Brown"/>
    <s v="West"/>
    <x v="3"/>
    <n v="984.93"/>
    <n v="14"/>
    <n v="0.2"/>
    <x v="136"/>
    <n v="275.77999999999997"/>
    <s v="High Discount"/>
    <d v="2026-02-27T20:31:00"/>
    <x v="1"/>
    <x v="178"/>
  </r>
  <r>
    <s v="CUST007"/>
    <s v="David Brown"/>
    <s v="West"/>
    <x v="1"/>
    <n v="1493.49"/>
    <n v="18"/>
    <n v="0"/>
    <x v="137"/>
    <n v="746.74"/>
    <s v="No Discount"/>
    <d v="2026-02-27T20:31:00"/>
    <x v="0"/>
    <x v="179"/>
  </r>
  <r>
    <s v="CUST009"/>
    <s v="Linda Taylor"/>
    <s v="South"/>
    <x v="1"/>
    <n v="689.43"/>
    <n v="9"/>
    <n v="0.1"/>
    <x v="138"/>
    <n v="310.24"/>
    <s v="Low Discount"/>
    <d v="2026-02-27T20:31:00"/>
    <x v="1"/>
    <x v="180"/>
  </r>
  <r>
    <s v="CUST023"/>
    <s v="Mary Wilson"/>
    <s v="South"/>
    <x v="1"/>
    <n v="682.24"/>
    <n v="1"/>
    <n v="0"/>
    <x v="139"/>
    <n v="341.12"/>
    <s v="No Discount"/>
    <d v="2026-02-27T20:31:00"/>
    <x v="1"/>
    <x v="20"/>
  </r>
  <r>
    <s v="CUST029"/>
    <s v="Michael Anderson"/>
    <s v="North"/>
    <x v="2"/>
    <n v="458.54"/>
    <n v="15"/>
    <n v="0.2"/>
    <x v="140"/>
    <n v="91.71"/>
    <s v="High Discount"/>
    <d v="2026-02-27T20:31:00"/>
    <x v="1"/>
    <x v="181"/>
  </r>
  <r>
    <s v="CUST009"/>
    <s v="Michael Anderson"/>
    <s v="South"/>
    <x v="3"/>
    <n v="1184.25"/>
    <n v="11"/>
    <n v="0.2"/>
    <x v="141"/>
    <n v="331.59"/>
    <s v="High Discount"/>
    <d v="2026-02-27T20:31:00"/>
    <x v="0"/>
    <x v="182"/>
  </r>
  <r>
    <s v="CUST007"/>
    <s v="James Davis"/>
    <s v="South"/>
    <x v="1"/>
    <n v="762.14"/>
    <n v="9"/>
    <n v="0"/>
    <x v="142"/>
    <n v="381.07"/>
    <s v="No Discount"/>
    <d v="2026-02-27T20:31:00"/>
    <x v="1"/>
    <x v="20"/>
  </r>
  <r>
    <s v="CUST030"/>
    <s v="Linda Taylor"/>
    <s v="North"/>
    <x v="0"/>
    <n v="750.71"/>
    <n v="10"/>
    <n v="0.15"/>
    <x v="142"/>
    <n v="255.24"/>
    <s v="Medium Discount"/>
    <d v="2026-02-27T20:31:00"/>
    <x v="1"/>
    <x v="183"/>
  </r>
  <r>
    <s v="CUST018"/>
    <s v="David Anderson"/>
    <s v="Central"/>
    <x v="1"/>
    <n v="1456.94"/>
    <n v="14"/>
    <n v="0.05"/>
    <x v="143"/>
    <n v="692.05"/>
    <s v="Low Discount"/>
    <d v="2026-02-27T20:31:00"/>
    <x v="0"/>
    <x v="184"/>
  </r>
  <r>
    <s v="CUST008"/>
    <s v="Emma Wilson"/>
    <s v="East"/>
    <x v="3"/>
    <n v="1093.3800000000001"/>
    <n v="17"/>
    <n v="0.1"/>
    <x v="143"/>
    <n v="344.41"/>
    <s v="Low Discount"/>
    <d v="2026-02-27T20:31:00"/>
    <x v="0"/>
    <x v="185"/>
  </r>
  <r>
    <s v="CUST014"/>
    <s v="Sarah Anderson"/>
    <s v="West"/>
    <x v="1"/>
    <n v="934.27"/>
    <n v="8"/>
    <n v="0.15"/>
    <x v="144"/>
    <n v="397.06"/>
    <s v="Medium Discount"/>
    <d v="2026-02-27T20:31:00"/>
    <x v="1"/>
    <x v="186"/>
  </r>
  <r>
    <s v="CUST024"/>
    <s v="David Thomas"/>
    <s v="Central"/>
    <x v="1"/>
    <n v="1465.35"/>
    <n v="8"/>
    <n v="0.2"/>
    <x v="144"/>
    <n v="586.14"/>
    <s v="High Discount"/>
    <d v="2026-02-27T20:31:00"/>
    <x v="0"/>
    <x v="122"/>
  </r>
  <r>
    <s v="CUST028"/>
    <s v="Robert Anderson"/>
    <s v="South"/>
    <x v="4"/>
    <n v="740.8"/>
    <n v="3"/>
    <n v="0"/>
    <x v="145"/>
    <n v="333.36"/>
    <s v="No Discount"/>
    <d v="2026-02-27T20:31:00"/>
    <x v="1"/>
    <x v="187"/>
  </r>
  <r>
    <s v="CUST015"/>
    <s v="Sarah Anderson"/>
    <s v="West"/>
    <x v="4"/>
    <n v="545.44000000000005"/>
    <n v="17"/>
    <n v="0"/>
    <x v="146"/>
    <n v="245.45"/>
    <s v="No Discount"/>
    <d v="2026-02-27T20:31:00"/>
    <x v="1"/>
    <x v="188"/>
  </r>
  <r>
    <s v="CUST010"/>
    <s v="David Thomas"/>
    <s v="East"/>
    <x v="0"/>
    <n v="997.61"/>
    <n v="8"/>
    <n v="0.05"/>
    <x v="146"/>
    <n v="379.09"/>
    <s v="Low Discount"/>
    <d v="2026-02-27T20:31:00"/>
    <x v="1"/>
    <x v="189"/>
  </r>
  <r>
    <s v="CUST016"/>
    <s v="David Thomas"/>
    <s v="South"/>
    <x v="1"/>
    <n v="928.32"/>
    <n v="2"/>
    <n v="0.05"/>
    <x v="147"/>
    <n v="440.95"/>
    <s v="Low Discount"/>
    <d v="2026-02-27T20:31:00"/>
    <x v="1"/>
    <x v="19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x v="0"/>
    <x v="0"/>
    <x v="0"/>
    <n v="1036.0899999999999"/>
    <n v="4"/>
    <x v="0"/>
    <x v="0"/>
    <n v="331.55"/>
    <x v="0"/>
    <d v="2026-02-28T13:38:09"/>
    <s v="High purchase"/>
    <n v="0.32000115820054248"/>
  </r>
  <r>
    <s v="CUST012"/>
    <x v="1"/>
    <x v="0"/>
    <x v="1"/>
    <n v="1101.28"/>
    <n v="3"/>
    <x v="0"/>
    <x v="1"/>
    <n v="440.51"/>
    <x v="0"/>
    <d v="2026-02-28T13:38:09"/>
    <s v="High purchase"/>
    <n v="0.39999818393142528"/>
  </r>
  <r>
    <s v="CUST017"/>
    <x v="2"/>
    <x v="1"/>
    <x v="0"/>
    <n v="713.34"/>
    <n v="17"/>
    <x v="1"/>
    <x v="2"/>
    <n v="285.33999999999997"/>
    <x v="1"/>
    <d v="2026-02-28T13:38:09"/>
    <s v="Normal purchase"/>
    <n v="0.40000560742422964"/>
  </r>
  <r>
    <s v="CUST005"/>
    <x v="1"/>
    <x v="2"/>
    <x v="2"/>
    <n v="760.93"/>
    <n v="4"/>
    <x v="2"/>
    <x v="2"/>
    <n v="161.69999999999999"/>
    <x v="2"/>
    <d v="2026-02-28T13:38:09"/>
    <s v="Normal purchase"/>
    <n v="0.2125031211806605"/>
  </r>
  <r>
    <s v="CUST030"/>
    <x v="3"/>
    <x v="3"/>
    <x v="0"/>
    <n v="847"/>
    <n v="12"/>
    <x v="0"/>
    <x v="3"/>
    <n v="271.04000000000002"/>
    <x v="0"/>
    <d v="2026-02-28T13:38:09"/>
    <s v="Normal purchase"/>
    <n v="0.32"/>
  </r>
  <r>
    <s v="CUST007"/>
    <x v="4"/>
    <x v="3"/>
    <x v="3"/>
    <n v="965.64"/>
    <n v="8"/>
    <x v="3"/>
    <x v="4"/>
    <n v="304.18"/>
    <x v="3"/>
    <d v="2026-02-28T13:38:09"/>
    <s v="Normal purchase"/>
    <n v="0.31500352098090389"/>
  </r>
  <r>
    <s v="CUST001"/>
    <x v="5"/>
    <x v="0"/>
    <x v="2"/>
    <n v="1317.53"/>
    <n v="12"/>
    <x v="4"/>
    <x v="4"/>
    <n v="312.91000000000003"/>
    <x v="3"/>
    <d v="2026-02-28T13:38:09"/>
    <s v="High purchase"/>
    <n v="0.23749743838849971"/>
  </r>
  <r>
    <s v="CUST026"/>
    <x v="6"/>
    <x v="1"/>
    <x v="3"/>
    <n v="1074.47"/>
    <n v="6"/>
    <x v="0"/>
    <x v="5"/>
    <n v="300.85000000000002"/>
    <x v="0"/>
    <d v="2026-02-28T13:38:09"/>
    <s v="High purchase"/>
    <n v="0.279998510893743"/>
  </r>
  <r>
    <s v="CUST009"/>
    <x v="7"/>
    <x v="4"/>
    <x v="0"/>
    <n v="501.54"/>
    <n v="11"/>
    <x v="4"/>
    <x v="5"/>
    <n v="190.59"/>
    <x v="3"/>
    <d v="2026-02-28T13:38:09"/>
    <s v="Normal purchase"/>
    <n v="0.38000957052278977"/>
  </r>
  <r>
    <s v="CUST010"/>
    <x v="8"/>
    <x v="4"/>
    <x v="1"/>
    <n v="737.31"/>
    <n v="2"/>
    <x v="4"/>
    <x v="5"/>
    <n v="350.22"/>
    <x v="3"/>
    <d v="2026-02-28T13:38:09"/>
    <s v="Normal purchase"/>
    <n v="0.47499694836635886"/>
  </r>
  <r>
    <s v="CUST014"/>
    <x v="9"/>
    <x v="0"/>
    <x v="4"/>
    <n v="1572.82"/>
    <n v="6"/>
    <x v="4"/>
    <x v="6"/>
    <n v="672.38"/>
    <x v="3"/>
    <d v="2026-02-28T13:38:09"/>
    <s v="High purchase"/>
    <n v="0.42749965030963494"/>
  </r>
  <r>
    <s v="CUST014"/>
    <x v="8"/>
    <x v="4"/>
    <x v="0"/>
    <n v="1343.13"/>
    <n v="14"/>
    <x v="2"/>
    <x v="7"/>
    <n v="456.66"/>
    <x v="2"/>
    <d v="2026-02-28T13:38:09"/>
    <s v="High purchase"/>
    <n v="0.33999687297581022"/>
  </r>
  <r>
    <s v="CUST007"/>
    <x v="4"/>
    <x v="4"/>
    <x v="0"/>
    <n v="1191.58"/>
    <n v="14"/>
    <x v="4"/>
    <x v="8"/>
    <n v="452.8"/>
    <x v="3"/>
    <d v="2026-02-28T13:38:09"/>
    <s v="High purchase"/>
    <n v="0.37999966431125065"/>
  </r>
  <r>
    <s v="CUST023"/>
    <x v="1"/>
    <x v="0"/>
    <x v="3"/>
    <n v="822.28"/>
    <n v="7"/>
    <x v="4"/>
    <x v="8"/>
    <n v="273.41000000000003"/>
    <x v="3"/>
    <d v="2026-02-28T13:38:09"/>
    <s v="Normal purchase"/>
    <n v="0.33250231064844094"/>
  </r>
  <r>
    <s v="CUST029"/>
    <x v="10"/>
    <x v="3"/>
    <x v="3"/>
    <n v="521.66999999999996"/>
    <n v="15"/>
    <x v="2"/>
    <x v="9"/>
    <n v="155.19999999999999"/>
    <x v="2"/>
    <d v="2026-02-28T13:38:09"/>
    <s v="Normal purchase"/>
    <n v="0.29750608622309122"/>
  </r>
  <r>
    <s v="CUST005"/>
    <x v="11"/>
    <x v="2"/>
    <x v="2"/>
    <n v="1502.93"/>
    <n v="14"/>
    <x v="0"/>
    <x v="10"/>
    <n v="300.58999999999997"/>
    <x v="0"/>
    <d v="2026-02-28T13:38:09"/>
    <s v="High purchase"/>
    <n v="0.20000266146793261"/>
  </r>
  <r>
    <s v="CUST008"/>
    <x v="1"/>
    <x v="2"/>
    <x v="0"/>
    <n v="877.58"/>
    <n v="10"/>
    <x v="2"/>
    <x v="11"/>
    <n v="298.38"/>
    <x v="2"/>
    <d v="2026-02-28T13:38:09"/>
    <s v="Normal purchase"/>
    <n v="0.34000319059231066"/>
  </r>
  <r>
    <s v="CUST001"/>
    <x v="12"/>
    <x v="0"/>
    <x v="0"/>
    <n v="636.70000000000005"/>
    <n v="4"/>
    <x v="0"/>
    <x v="11"/>
    <n v="203.74"/>
    <x v="0"/>
    <d v="2026-02-28T13:38:09"/>
    <s v="Normal purchase"/>
    <n v="0.31999371760640805"/>
  </r>
  <r>
    <s v="CUST006"/>
    <x v="13"/>
    <x v="0"/>
    <x v="0"/>
    <n v="1506.14"/>
    <n v="13"/>
    <x v="0"/>
    <x v="12"/>
    <n v="481.96"/>
    <x v="0"/>
    <d v="2026-02-28T13:38:09"/>
    <s v="High purchase"/>
    <n v="0.319996813045268"/>
  </r>
  <r>
    <s v="CUST026"/>
    <x v="6"/>
    <x v="4"/>
    <x v="2"/>
    <n v="645.02"/>
    <n v="4"/>
    <x v="1"/>
    <x v="13"/>
    <n v="161.26"/>
    <x v="1"/>
    <d v="2026-02-28T13:38:09"/>
    <s v="Normal purchase"/>
    <n v="0.25000775169762179"/>
  </r>
  <r>
    <s v="CUST007"/>
    <x v="14"/>
    <x v="2"/>
    <x v="1"/>
    <n v="953.3"/>
    <n v="11"/>
    <x v="1"/>
    <x v="14"/>
    <n v="476.65"/>
    <x v="1"/>
    <d v="2026-02-28T13:38:09"/>
    <s v="Normal purchase"/>
    <n v="0.5"/>
  </r>
  <r>
    <s v="CUST022"/>
    <x v="1"/>
    <x v="3"/>
    <x v="2"/>
    <n v="388.56"/>
    <n v="14"/>
    <x v="2"/>
    <x v="15"/>
    <n v="82.57"/>
    <x v="2"/>
    <d v="2026-02-28T13:38:09"/>
    <s v="Normal purchase"/>
    <n v="0.21250257360510602"/>
  </r>
  <r>
    <s v="CUST019"/>
    <x v="6"/>
    <x v="0"/>
    <x v="0"/>
    <n v="743.17"/>
    <n v="9"/>
    <x v="1"/>
    <x v="15"/>
    <n v="297.27"/>
    <x v="1"/>
    <d v="2026-02-28T13:38:09"/>
    <s v="Normal purchase"/>
    <n v="0.40000269117429388"/>
  </r>
  <r>
    <s v="CUST023"/>
    <x v="6"/>
    <x v="4"/>
    <x v="2"/>
    <n v="706.37"/>
    <n v="6"/>
    <x v="1"/>
    <x v="15"/>
    <n v="176.59"/>
    <x v="1"/>
    <d v="2026-02-28T13:38:09"/>
    <s v="Normal purchase"/>
    <n v="0.24999646077834564"/>
  </r>
  <r>
    <s v="CUST012"/>
    <x v="6"/>
    <x v="4"/>
    <x v="4"/>
    <n v="925.31"/>
    <n v="8"/>
    <x v="3"/>
    <x v="16"/>
    <n v="374.75"/>
    <x v="3"/>
    <d v="2026-02-28T13:38:09"/>
    <s v="Normal purchase"/>
    <n v="0.40499940560460823"/>
  </r>
  <r>
    <s v="CUST010"/>
    <x v="15"/>
    <x v="2"/>
    <x v="2"/>
    <n v="1173.1199999999999"/>
    <n v="18"/>
    <x v="1"/>
    <x v="16"/>
    <n v="293.27999999999997"/>
    <x v="1"/>
    <d v="2026-02-28T13:38:09"/>
    <s v="High purchase"/>
    <n v="0.25"/>
  </r>
  <r>
    <s v="CUST030"/>
    <x v="16"/>
    <x v="3"/>
    <x v="3"/>
    <n v="675.54"/>
    <n v="17"/>
    <x v="1"/>
    <x v="17"/>
    <n v="236.44"/>
    <x v="1"/>
    <d v="2026-02-28T13:38:09"/>
    <s v="Normal purchase"/>
    <n v="0.35000148029724371"/>
  </r>
  <r>
    <s v="CUST007"/>
    <x v="1"/>
    <x v="4"/>
    <x v="0"/>
    <n v="939.09"/>
    <n v="2"/>
    <x v="4"/>
    <x v="18"/>
    <n v="356.85"/>
    <x v="3"/>
    <d v="2026-02-28T13:38:09"/>
    <s v="Normal purchase"/>
    <n v="0.37999552758521549"/>
  </r>
  <r>
    <s v="CUST028"/>
    <x v="17"/>
    <x v="1"/>
    <x v="4"/>
    <n v="983.34"/>
    <n v="19"/>
    <x v="3"/>
    <x v="19"/>
    <n v="398.25"/>
    <x v="3"/>
    <d v="2026-02-28T13:38:09"/>
    <s v="Normal purchase"/>
    <n v="0.40499725425590333"/>
  </r>
  <r>
    <s v="CUST028"/>
    <x v="3"/>
    <x v="2"/>
    <x v="2"/>
    <n v="801.21"/>
    <n v="3"/>
    <x v="0"/>
    <x v="19"/>
    <n v="160.24"/>
    <x v="0"/>
    <d v="2026-02-28T13:38:09"/>
    <s v="Normal purchase"/>
    <n v="0.19999750377553949"/>
  </r>
  <r>
    <s v="CUST025"/>
    <x v="18"/>
    <x v="3"/>
    <x v="2"/>
    <n v="1450.71"/>
    <n v="5"/>
    <x v="3"/>
    <x v="20"/>
    <n v="326.41000000000003"/>
    <x v="3"/>
    <d v="2026-02-28T13:38:09"/>
    <s v="High purchase"/>
    <n v="0.22500017232941114"/>
  </r>
  <r>
    <s v="CUST022"/>
    <x v="19"/>
    <x v="4"/>
    <x v="0"/>
    <n v="1023.21"/>
    <n v="18"/>
    <x v="4"/>
    <x v="21"/>
    <n v="388.82"/>
    <x v="3"/>
    <d v="2026-02-28T13:38:09"/>
    <s v="High purchase"/>
    <n v="0.38000019546329689"/>
  </r>
  <r>
    <s v="CUST001"/>
    <x v="13"/>
    <x v="0"/>
    <x v="3"/>
    <n v="853.72"/>
    <n v="5"/>
    <x v="2"/>
    <x v="21"/>
    <n v="253.98"/>
    <x v="2"/>
    <d v="2026-02-28T13:38:09"/>
    <s v="Normal purchase"/>
    <n v="0.29749800871480109"/>
  </r>
  <r>
    <s v="CUST021"/>
    <x v="11"/>
    <x v="2"/>
    <x v="2"/>
    <n v="967.89"/>
    <n v="10"/>
    <x v="3"/>
    <x v="22"/>
    <n v="217.78"/>
    <x v="3"/>
    <d v="2026-02-28T13:38:09"/>
    <s v="Normal purchase"/>
    <n v="0.22500490758247321"/>
  </r>
  <r>
    <s v="CUST015"/>
    <x v="17"/>
    <x v="3"/>
    <x v="4"/>
    <n v="1200.9000000000001"/>
    <n v="14"/>
    <x v="4"/>
    <x v="22"/>
    <n v="513.38"/>
    <x v="3"/>
    <d v="2026-02-28T13:38:09"/>
    <s v="High purchase"/>
    <n v="0.42749604463319174"/>
  </r>
  <r>
    <s v="CUST012"/>
    <x v="4"/>
    <x v="0"/>
    <x v="0"/>
    <n v="472.38"/>
    <n v="12"/>
    <x v="0"/>
    <x v="22"/>
    <n v="151.16"/>
    <x v="0"/>
    <d v="2026-02-28T13:38:09"/>
    <s v="Normal purchase"/>
    <n v="0.31999661289639697"/>
  </r>
  <r>
    <s v="CUST019"/>
    <x v="18"/>
    <x v="1"/>
    <x v="4"/>
    <n v="840.92"/>
    <n v="9"/>
    <x v="4"/>
    <x v="22"/>
    <n v="359.49"/>
    <x v="3"/>
    <d v="2026-02-28T13:38:09"/>
    <s v="Normal purchase"/>
    <n v="0.42749607572658521"/>
  </r>
  <r>
    <s v="CUST028"/>
    <x v="14"/>
    <x v="4"/>
    <x v="3"/>
    <n v="1410.06"/>
    <n v="11"/>
    <x v="4"/>
    <x v="23"/>
    <n v="468.84"/>
    <x v="3"/>
    <d v="2026-02-28T13:38:09"/>
    <s v="High purchase"/>
    <n v="0.33249648951108463"/>
  </r>
  <r>
    <s v="CUST008"/>
    <x v="20"/>
    <x v="4"/>
    <x v="3"/>
    <n v="773.09"/>
    <n v="13"/>
    <x v="2"/>
    <x v="23"/>
    <n v="229.99"/>
    <x v="2"/>
    <d v="2026-02-28T13:38:09"/>
    <s v="Normal purchase"/>
    <n v="0.29749447024279191"/>
  </r>
  <r>
    <s v="CUST016"/>
    <x v="21"/>
    <x v="1"/>
    <x v="0"/>
    <n v="580.42999999999995"/>
    <n v="19"/>
    <x v="2"/>
    <x v="24"/>
    <n v="197.35"/>
    <x v="2"/>
    <d v="2026-02-28T13:38:09"/>
    <s v="Normal purchase"/>
    <n v="0.3400065468704237"/>
  </r>
  <r>
    <s v="CUST005"/>
    <x v="10"/>
    <x v="2"/>
    <x v="0"/>
    <n v="1151.21"/>
    <n v="15"/>
    <x v="3"/>
    <x v="25"/>
    <n v="414.44"/>
    <x v="3"/>
    <d v="2026-02-28T13:38:09"/>
    <s v="High purchase"/>
    <n v="0.36000382206547893"/>
  </r>
  <r>
    <s v="CUST028"/>
    <x v="3"/>
    <x v="4"/>
    <x v="4"/>
    <n v="1025.98"/>
    <n v="5"/>
    <x v="0"/>
    <x v="26"/>
    <n v="369.35"/>
    <x v="0"/>
    <d v="2026-02-28T13:38:09"/>
    <s v="High purchase"/>
    <n v="0.35999727090196693"/>
  </r>
  <r>
    <s v="CUST023"/>
    <x v="19"/>
    <x v="1"/>
    <x v="4"/>
    <n v="556.41999999999996"/>
    <n v="11"/>
    <x v="2"/>
    <x v="26"/>
    <n v="212.83"/>
    <x v="2"/>
    <d v="2026-02-28T13:38:09"/>
    <s v="Normal purchase"/>
    <n v="0.38249883181769173"/>
  </r>
  <r>
    <s v="CUST021"/>
    <x v="3"/>
    <x v="4"/>
    <x v="0"/>
    <n v="840.85"/>
    <n v="19"/>
    <x v="3"/>
    <x v="27"/>
    <n v="302.70999999999998"/>
    <x v="3"/>
    <d v="2026-02-28T13:38:09"/>
    <s v="Normal purchase"/>
    <n v="0.3600047570910388"/>
  </r>
  <r>
    <s v="CUST026"/>
    <x v="21"/>
    <x v="3"/>
    <x v="3"/>
    <n v="1227.25"/>
    <n v="12"/>
    <x v="2"/>
    <x v="27"/>
    <n v="365.11"/>
    <x v="2"/>
    <d v="2026-02-28T13:38:09"/>
    <s v="High purchase"/>
    <n v="0.2975025463434508"/>
  </r>
  <r>
    <s v="CUST017"/>
    <x v="22"/>
    <x v="4"/>
    <x v="2"/>
    <n v="856.7"/>
    <n v="2"/>
    <x v="1"/>
    <x v="28"/>
    <n v="214.18"/>
    <x v="1"/>
    <d v="2026-02-28T13:38:09"/>
    <s v="Normal purchase"/>
    <n v="0.25000583634878021"/>
  </r>
  <r>
    <s v="CUST025"/>
    <x v="19"/>
    <x v="4"/>
    <x v="4"/>
    <n v="1225.42"/>
    <n v="8"/>
    <x v="2"/>
    <x v="28"/>
    <n v="468.72"/>
    <x v="2"/>
    <d v="2026-02-28T13:38:09"/>
    <s v="High purchase"/>
    <n v="0.38249742945275905"/>
  </r>
  <r>
    <s v="CUST011"/>
    <x v="6"/>
    <x v="3"/>
    <x v="4"/>
    <n v="1001.57"/>
    <n v="12"/>
    <x v="1"/>
    <x v="29"/>
    <n v="450.71"/>
    <x v="1"/>
    <d v="2026-02-28T13:38:09"/>
    <s v="High purchase"/>
    <n v="0.4500034945136136"/>
  </r>
  <r>
    <s v="CUST021"/>
    <x v="4"/>
    <x v="1"/>
    <x v="3"/>
    <n v="1186.8499999999999"/>
    <n v="19"/>
    <x v="0"/>
    <x v="30"/>
    <n v="332.32"/>
    <x v="0"/>
    <d v="2026-02-28T13:38:09"/>
    <s v="High purchase"/>
    <n v="0.2800016851329149"/>
  </r>
  <r>
    <s v="CUST008"/>
    <x v="16"/>
    <x v="2"/>
    <x v="2"/>
    <n v="775.45"/>
    <n v="6"/>
    <x v="3"/>
    <x v="31"/>
    <n v="174.48"/>
    <x v="3"/>
    <d v="2026-02-28T13:38:09"/>
    <s v="Normal purchase"/>
    <n v="0.22500483590173445"/>
  </r>
  <r>
    <s v="CUST007"/>
    <x v="7"/>
    <x v="2"/>
    <x v="2"/>
    <n v="1021.47"/>
    <n v="6"/>
    <x v="4"/>
    <x v="32"/>
    <n v="242.6"/>
    <x v="3"/>
    <d v="2026-02-28T13:38:09"/>
    <s v="High purchase"/>
    <n v="0.23750085660861306"/>
  </r>
  <r>
    <s v="CUST015"/>
    <x v="3"/>
    <x v="2"/>
    <x v="1"/>
    <n v="1226.6199999999999"/>
    <n v="7"/>
    <x v="3"/>
    <x v="33"/>
    <n v="551.98"/>
    <x v="3"/>
    <d v="2026-02-28T13:38:09"/>
    <s v="High purchase"/>
    <n v="0.45000081524840624"/>
  </r>
  <r>
    <s v="CUST030"/>
    <x v="23"/>
    <x v="2"/>
    <x v="3"/>
    <n v="1086.93"/>
    <n v="2"/>
    <x v="1"/>
    <x v="34"/>
    <n v="380.43"/>
    <x v="1"/>
    <d v="2026-02-28T13:38:09"/>
    <s v="High purchase"/>
    <n v="0.35000414010101843"/>
  </r>
  <r>
    <s v="CUST002"/>
    <x v="14"/>
    <x v="0"/>
    <x v="0"/>
    <n v="942.9"/>
    <n v="18"/>
    <x v="3"/>
    <x v="35"/>
    <n v="339.44"/>
    <x v="3"/>
    <d v="2026-02-28T13:38:09"/>
    <s v="Normal purchase"/>
    <n v="0.35999575776858628"/>
  </r>
  <r>
    <s v="CUST009"/>
    <x v="9"/>
    <x v="3"/>
    <x v="2"/>
    <n v="818.8"/>
    <n v="15"/>
    <x v="2"/>
    <x v="36"/>
    <n v="173.99"/>
    <x v="2"/>
    <d v="2026-02-28T13:38:09"/>
    <s v="Normal purchase"/>
    <n v="0.21249389350268688"/>
  </r>
  <r>
    <s v="CUST005"/>
    <x v="1"/>
    <x v="2"/>
    <x v="3"/>
    <n v="919.04"/>
    <n v="10"/>
    <x v="0"/>
    <x v="36"/>
    <n v="257.33"/>
    <x v="0"/>
    <d v="2026-02-28T13:38:09"/>
    <s v="Normal purchase"/>
    <n v="0.27999869428969359"/>
  </r>
  <r>
    <s v="CUST030"/>
    <x v="24"/>
    <x v="4"/>
    <x v="0"/>
    <n v="973.26"/>
    <n v="11"/>
    <x v="1"/>
    <x v="37"/>
    <n v="389.3"/>
    <x v="1"/>
    <d v="2026-02-28T13:38:09"/>
    <s v="Normal purchase"/>
    <n v="0.39999589010130904"/>
  </r>
  <r>
    <s v="CUST029"/>
    <x v="23"/>
    <x v="3"/>
    <x v="2"/>
    <n v="741.61"/>
    <n v="1"/>
    <x v="0"/>
    <x v="38"/>
    <n v="148.32"/>
    <x v="0"/>
    <d v="2026-02-28T13:38:09"/>
    <s v="Normal purchase"/>
    <n v="0.19999730316473616"/>
  </r>
  <r>
    <s v="CUST003"/>
    <x v="9"/>
    <x v="3"/>
    <x v="0"/>
    <n v="1248.82"/>
    <n v="2"/>
    <x v="3"/>
    <x v="39"/>
    <n v="449.58"/>
    <x v="3"/>
    <d v="2026-02-28T13:38:09"/>
    <s v="High purchase"/>
    <n v="0.36000384362838522"/>
  </r>
  <r>
    <s v="CUST012"/>
    <x v="20"/>
    <x v="0"/>
    <x v="1"/>
    <n v="1360.36"/>
    <n v="17"/>
    <x v="1"/>
    <x v="39"/>
    <n v="680.18"/>
    <x v="1"/>
    <d v="2026-02-28T13:38:09"/>
    <s v="High purchase"/>
    <n v="0.5"/>
  </r>
  <r>
    <s v="CUST021"/>
    <x v="6"/>
    <x v="1"/>
    <x v="0"/>
    <n v="1383.3"/>
    <n v="8"/>
    <x v="3"/>
    <x v="40"/>
    <n v="497.99"/>
    <x v="3"/>
    <d v="2026-02-28T13:38:09"/>
    <s v="High purchase"/>
    <n v="0.36000144581797155"/>
  </r>
  <r>
    <s v="CUST010"/>
    <x v="18"/>
    <x v="4"/>
    <x v="4"/>
    <n v="488.99"/>
    <n v="9"/>
    <x v="1"/>
    <x v="41"/>
    <n v="220.05"/>
    <x v="1"/>
    <d v="2026-02-28T13:38:09"/>
    <s v="Normal purchase"/>
    <n v="0.45000920264218086"/>
  </r>
  <r>
    <s v="CUST026"/>
    <x v="6"/>
    <x v="1"/>
    <x v="3"/>
    <n v="933.71"/>
    <n v="17"/>
    <x v="3"/>
    <x v="42"/>
    <n v="294.12"/>
    <x v="3"/>
    <d v="2026-02-28T13:38:09"/>
    <s v="Normal purchase"/>
    <n v="0.31500144584506967"/>
  </r>
  <r>
    <s v="CUST003"/>
    <x v="0"/>
    <x v="0"/>
    <x v="2"/>
    <n v="1005.53"/>
    <n v="17"/>
    <x v="0"/>
    <x v="42"/>
    <n v="201.11"/>
    <x v="0"/>
    <d v="2026-02-28T13:38:09"/>
    <s v="High purchase"/>
    <n v="0.2000039780016509"/>
  </r>
  <r>
    <s v="CUST029"/>
    <x v="21"/>
    <x v="2"/>
    <x v="2"/>
    <n v="1100.0999999999999"/>
    <n v="5"/>
    <x v="4"/>
    <x v="43"/>
    <n v="261.27"/>
    <x v="3"/>
    <d v="2026-02-28T13:38:09"/>
    <s v="High purchase"/>
    <n v="0.23749659121898009"/>
  </r>
  <r>
    <s v="CUST003"/>
    <x v="3"/>
    <x v="3"/>
    <x v="3"/>
    <n v="1034.7"/>
    <n v="15"/>
    <x v="2"/>
    <x v="44"/>
    <n v="307.82"/>
    <x v="2"/>
    <d v="2026-02-28T13:38:09"/>
    <s v="High purchase"/>
    <n v="0.29749685899294481"/>
  </r>
  <r>
    <s v="CUST002"/>
    <x v="6"/>
    <x v="2"/>
    <x v="0"/>
    <n v="876.44"/>
    <n v="12"/>
    <x v="4"/>
    <x v="45"/>
    <n v="333.05"/>
    <x v="3"/>
    <d v="2026-02-28T13:38:09"/>
    <s v="Normal purchase"/>
    <n v="0.38000319474236682"/>
  </r>
  <r>
    <s v="CUST020"/>
    <x v="18"/>
    <x v="0"/>
    <x v="3"/>
    <n v="1371.34"/>
    <n v="5"/>
    <x v="4"/>
    <x v="45"/>
    <n v="455.97"/>
    <x v="3"/>
    <d v="2026-02-28T13:38:09"/>
    <s v="High purchase"/>
    <n v="0.33249959893243108"/>
  </r>
  <r>
    <s v="CUST021"/>
    <x v="13"/>
    <x v="3"/>
    <x v="2"/>
    <n v="1020.26"/>
    <n v="11"/>
    <x v="4"/>
    <x v="46"/>
    <n v="242.31"/>
    <x v="3"/>
    <d v="2026-02-28T13:38:09"/>
    <s v="High purchase"/>
    <n v="0.23749828475094584"/>
  </r>
  <r>
    <s v="CUST008"/>
    <x v="0"/>
    <x v="4"/>
    <x v="4"/>
    <n v="804.81"/>
    <n v="1"/>
    <x v="4"/>
    <x v="47"/>
    <n v="344.06"/>
    <x v="3"/>
    <d v="2026-02-28T13:38:09"/>
    <s v="Normal purchase"/>
    <n v="0.42750462842161507"/>
  </r>
  <r>
    <s v="CUST030"/>
    <x v="18"/>
    <x v="4"/>
    <x v="2"/>
    <n v="608.66"/>
    <n v="1"/>
    <x v="4"/>
    <x v="48"/>
    <n v="144.56"/>
    <x v="3"/>
    <d v="2026-02-28T13:38:09"/>
    <s v="Normal purchase"/>
    <n v="0.23750533959846221"/>
  </r>
  <r>
    <s v="CUST020"/>
    <x v="25"/>
    <x v="2"/>
    <x v="4"/>
    <n v="981.2"/>
    <n v="19"/>
    <x v="1"/>
    <x v="49"/>
    <n v="441.54"/>
    <x v="1"/>
    <d v="2026-02-28T13:38:09"/>
    <s v="Normal purchase"/>
    <n v="0.45"/>
  </r>
  <r>
    <s v="CUST024"/>
    <x v="18"/>
    <x v="1"/>
    <x v="2"/>
    <n v="539.77"/>
    <n v="10"/>
    <x v="2"/>
    <x v="50"/>
    <n v="114.7"/>
    <x v="2"/>
    <d v="2026-02-28T13:38:09"/>
    <s v="Normal purchase"/>
    <n v="0.21249791577894289"/>
  </r>
  <r>
    <s v="CUST012"/>
    <x v="26"/>
    <x v="2"/>
    <x v="0"/>
    <n v="804.45"/>
    <n v="5"/>
    <x v="0"/>
    <x v="50"/>
    <n v="257.42"/>
    <x v="0"/>
    <d v="2026-02-28T13:38:09"/>
    <s v="Normal purchase"/>
    <n v="0.31999502765864879"/>
  </r>
  <r>
    <s v="CUST024"/>
    <x v="9"/>
    <x v="0"/>
    <x v="2"/>
    <n v="1526.6"/>
    <n v="13"/>
    <x v="0"/>
    <x v="51"/>
    <n v="305.32"/>
    <x v="0"/>
    <d v="2026-02-28T13:38:09"/>
    <s v="High purchase"/>
    <n v="0.2"/>
  </r>
  <r>
    <s v="CUST012"/>
    <x v="5"/>
    <x v="0"/>
    <x v="2"/>
    <n v="1215.26"/>
    <n v="5"/>
    <x v="2"/>
    <x v="52"/>
    <n v="258.24"/>
    <x v="2"/>
    <d v="2026-02-28T13:38:09"/>
    <s v="High purchase"/>
    <n v="0.21249773710975431"/>
  </r>
  <r>
    <s v="CUST005"/>
    <x v="17"/>
    <x v="4"/>
    <x v="3"/>
    <n v="1261.3399999999999"/>
    <n v="3"/>
    <x v="1"/>
    <x v="53"/>
    <n v="441.47"/>
    <x v="1"/>
    <d v="2026-02-28T13:38:09"/>
    <s v="High purchase"/>
    <n v="0.35000079280764906"/>
  </r>
  <r>
    <s v="CUST004"/>
    <x v="12"/>
    <x v="3"/>
    <x v="3"/>
    <n v="518.07000000000005"/>
    <n v="7"/>
    <x v="4"/>
    <x v="54"/>
    <n v="172.26"/>
    <x v="3"/>
    <d v="2026-02-28T13:38:09"/>
    <s v="Normal purchase"/>
    <n v="0.3325033296658752"/>
  </r>
  <r>
    <s v="CUST026"/>
    <x v="5"/>
    <x v="0"/>
    <x v="4"/>
    <n v="1111.3399999999999"/>
    <n v="1"/>
    <x v="1"/>
    <x v="55"/>
    <n v="500.1"/>
    <x v="1"/>
    <d v="2026-02-28T13:38:09"/>
    <s v="High purchase"/>
    <n v="0.4499973005560855"/>
  </r>
  <r>
    <s v="CUST030"/>
    <x v="6"/>
    <x v="1"/>
    <x v="1"/>
    <n v="1291.47"/>
    <n v="18"/>
    <x v="3"/>
    <x v="56"/>
    <n v="581.16"/>
    <x v="3"/>
    <d v="2026-02-28T13:38:09"/>
    <s v="High purchase"/>
    <n v="0.44999883853283462"/>
  </r>
  <r>
    <s v="CUST007"/>
    <x v="18"/>
    <x v="3"/>
    <x v="0"/>
    <n v="679.71"/>
    <n v="19"/>
    <x v="1"/>
    <x v="57"/>
    <n v="271.88"/>
    <x v="1"/>
    <d v="2026-02-28T13:38:09"/>
    <s v="Normal purchase"/>
    <n v="0.39999411513733796"/>
  </r>
  <r>
    <s v="CUST020"/>
    <x v="7"/>
    <x v="1"/>
    <x v="3"/>
    <n v="1143.69"/>
    <n v="17"/>
    <x v="1"/>
    <x v="57"/>
    <n v="400.29"/>
    <x v="1"/>
    <d v="2026-02-28T13:38:09"/>
    <s v="High purchase"/>
    <n v="0.34999868845578785"/>
  </r>
  <r>
    <s v="CUST028"/>
    <x v="15"/>
    <x v="4"/>
    <x v="2"/>
    <n v="790.08"/>
    <n v="7"/>
    <x v="3"/>
    <x v="58"/>
    <n v="177.77"/>
    <x v="3"/>
    <d v="2026-02-28T13:38:09"/>
    <s v="Normal purchase"/>
    <n v="0.22500253138922641"/>
  </r>
  <r>
    <s v="CUST005"/>
    <x v="14"/>
    <x v="4"/>
    <x v="0"/>
    <n v="1070.68"/>
    <n v="7"/>
    <x v="4"/>
    <x v="58"/>
    <n v="406.86"/>
    <x v="3"/>
    <d v="2026-02-28T13:38:09"/>
    <s v="High purchase"/>
    <n v="0.38000149437740499"/>
  </r>
  <r>
    <s v="CUST015"/>
    <x v="8"/>
    <x v="0"/>
    <x v="1"/>
    <n v="1168.8900000000001"/>
    <n v="4"/>
    <x v="3"/>
    <x v="59"/>
    <n v="526"/>
    <x v="3"/>
    <d v="2026-02-28T13:38:09"/>
    <s v="High purchase"/>
    <n v="0.44999957224375259"/>
  </r>
  <r>
    <s v="CUST003"/>
    <x v="0"/>
    <x v="2"/>
    <x v="2"/>
    <n v="1335.87"/>
    <n v="17"/>
    <x v="1"/>
    <x v="59"/>
    <n v="333.97"/>
    <x v="1"/>
    <d v="2026-02-28T13:38:09"/>
    <s v="High purchase"/>
    <n v="0.25000187143958624"/>
  </r>
  <r>
    <s v="CUST023"/>
    <x v="18"/>
    <x v="1"/>
    <x v="3"/>
    <n v="873.7"/>
    <n v="9"/>
    <x v="1"/>
    <x v="60"/>
    <n v="305.8"/>
    <x v="1"/>
    <d v="2026-02-28T13:38:09"/>
    <s v="Normal purchase"/>
    <n v="0.3500057227881424"/>
  </r>
  <r>
    <s v="CUST004"/>
    <x v="23"/>
    <x v="0"/>
    <x v="4"/>
    <n v="1443.98"/>
    <n v="19"/>
    <x v="1"/>
    <x v="61"/>
    <n v="649.79"/>
    <x v="1"/>
    <d v="2026-02-28T13:38:09"/>
    <s v="High purchase"/>
    <n v="0.44999930746963251"/>
  </r>
  <r>
    <s v="CUST023"/>
    <x v="3"/>
    <x v="1"/>
    <x v="4"/>
    <n v="1154.33"/>
    <n v="11"/>
    <x v="2"/>
    <x v="62"/>
    <n v="441.53"/>
    <x v="2"/>
    <d v="2026-02-28T13:38:09"/>
    <s v="High purchase"/>
    <n v="0.38249893877833896"/>
  </r>
  <r>
    <s v="CUST022"/>
    <x v="15"/>
    <x v="2"/>
    <x v="0"/>
    <n v="1264.49"/>
    <n v="16"/>
    <x v="4"/>
    <x v="62"/>
    <n v="480.51"/>
    <x v="3"/>
    <d v="2026-02-28T13:38:09"/>
    <s v="High purchase"/>
    <n v="0.38000300516413732"/>
  </r>
  <r>
    <s v="CUST007"/>
    <x v="24"/>
    <x v="0"/>
    <x v="3"/>
    <n v="1101.55"/>
    <n v="4"/>
    <x v="3"/>
    <x v="63"/>
    <n v="346.99"/>
    <x v="3"/>
    <d v="2026-02-28T13:38:09"/>
    <s v="High purchase"/>
    <n v="0.31500158867050976"/>
  </r>
  <r>
    <s v="CUST013"/>
    <x v="1"/>
    <x v="2"/>
    <x v="3"/>
    <n v="727.73"/>
    <n v="1"/>
    <x v="3"/>
    <x v="64"/>
    <n v="229.23"/>
    <x v="3"/>
    <d v="2026-02-28T13:38:09"/>
    <s v="Normal purchase"/>
    <n v="0.31499319802674064"/>
  </r>
  <r>
    <s v="CUST027"/>
    <x v="9"/>
    <x v="1"/>
    <x v="4"/>
    <n v="875.41"/>
    <n v="13"/>
    <x v="2"/>
    <x v="64"/>
    <n v="334.84"/>
    <x v="2"/>
    <d v="2026-02-28T13:38:09"/>
    <s v="Normal purchase"/>
    <n v="0.382495059457854"/>
  </r>
  <r>
    <s v="CUST003"/>
    <x v="3"/>
    <x v="0"/>
    <x v="2"/>
    <n v="1158.94"/>
    <n v="19"/>
    <x v="0"/>
    <x v="65"/>
    <n v="231.79"/>
    <x v="0"/>
    <d v="2026-02-28T13:38:09"/>
    <s v="High purchase"/>
    <n v="0.20000172571487737"/>
  </r>
  <r>
    <s v="CUST018"/>
    <x v="13"/>
    <x v="2"/>
    <x v="0"/>
    <n v="966.3"/>
    <n v="2"/>
    <x v="2"/>
    <x v="66"/>
    <n v="328.54"/>
    <x v="2"/>
    <d v="2026-02-28T13:38:09"/>
    <s v="Normal purchase"/>
    <n v="0.339997930249405"/>
  </r>
  <r>
    <s v="CUST020"/>
    <x v="2"/>
    <x v="2"/>
    <x v="0"/>
    <n v="917.48"/>
    <n v="6"/>
    <x v="1"/>
    <x v="67"/>
    <n v="366.99"/>
    <x v="1"/>
    <d v="2026-02-28T13:38:09"/>
    <s v="Normal purchase"/>
    <n v="0.39999782011596985"/>
  </r>
  <r>
    <s v="CUST029"/>
    <x v="21"/>
    <x v="0"/>
    <x v="3"/>
    <n v="1172.97"/>
    <n v="7"/>
    <x v="2"/>
    <x v="68"/>
    <n v="348.96"/>
    <x v="2"/>
    <d v="2026-02-28T13:38:09"/>
    <s v="High purchase"/>
    <n v="0.29750121486483028"/>
  </r>
  <r>
    <s v="CUST021"/>
    <x v="3"/>
    <x v="3"/>
    <x v="1"/>
    <n v="1205.82"/>
    <n v="11"/>
    <x v="3"/>
    <x v="68"/>
    <n v="542.62"/>
    <x v="3"/>
    <d v="2026-02-28T13:38:09"/>
    <s v="High purchase"/>
    <n v="0.45000082931117419"/>
  </r>
  <r>
    <s v="CUST017"/>
    <x v="23"/>
    <x v="0"/>
    <x v="4"/>
    <n v="826.93"/>
    <n v="10"/>
    <x v="0"/>
    <x v="69"/>
    <n v="297.69"/>
    <x v="0"/>
    <d v="2026-02-28T13:38:09"/>
    <s v="Normal purchase"/>
    <n v="0.35999419539743388"/>
  </r>
  <r>
    <s v="CUST003"/>
    <x v="3"/>
    <x v="4"/>
    <x v="1"/>
    <n v="902.19"/>
    <n v="12"/>
    <x v="1"/>
    <x v="69"/>
    <n v="451.1"/>
    <x v="1"/>
    <d v="2026-02-28T13:38:09"/>
    <s v="Normal purchase"/>
    <n v="0.50000554206985226"/>
  </r>
  <r>
    <s v="CUST027"/>
    <x v="9"/>
    <x v="3"/>
    <x v="0"/>
    <n v="585.97"/>
    <n v="17"/>
    <x v="3"/>
    <x v="70"/>
    <n v="210.95"/>
    <x v="3"/>
    <d v="2026-02-28T13:38:09"/>
    <s v="Normal purchase"/>
    <n v="0.36000136525760701"/>
  </r>
  <r>
    <s v="CUST016"/>
    <x v="4"/>
    <x v="3"/>
    <x v="1"/>
    <n v="990.19"/>
    <n v="8"/>
    <x v="3"/>
    <x v="70"/>
    <n v="445.59"/>
    <x v="3"/>
    <d v="2026-02-28T13:38:09"/>
    <s v="Normal purchase"/>
    <n v="0.45000454458235284"/>
  </r>
  <r>
    <s v="CUST008"/>
    <x v="19"/>
    <x v="4"/>
    <x v="2"/>
    <n v="1014.09"/>
    <n v="13"/>
    <x v="0"/>
    <x v="71"/>
    <n v="202.82"/>
    <x v="0"/>
    <d v="2026-02-28T13:38:09"/>
    <s v="High purchase"/>
    <n v="0.2000019722115394"/>
  </r>
  <r>
    <s v="CUST012"/>
    <x v="14"/>
    <x v="3"/>
    <x v="2"/>
    <n v="925.29"/>
    <n v="17"/>
    <x v="1"/>
    <x v="72"/>
    <n v="231.32"/>
    <x v="1"/>
    <d v="2026-02-28T13:38:09"/>
    <s v="Normal purchase"/>
    <n v="0.24999729814436555"/>
  </r>
  <r>
    <s v="CUST025"/>
    <x v="13"/>
    <x v="1"/>
    <x v="3"/>
    <n v="1286.54"/>
    <n v="8"/>
    <x v="1"/>
    <x v="73"/>
    <n v="450.29"/>
    <x v="1"/>
    <d v="2026-02-28T13:38:09"/>
    <s v="High purchase"/>
    <n v="0.35000077727859225"/>
  </r>
  <r>
    <s v="CUST014"/>
    <x v="23"/>
    <x v="2"/>
    <x v="0"/>
    <n v="961.62"/>
    <n v="8"/>
    <x v="0"/>
    <x v="74"/>
    <n v="307.72000000000003"/>
    <x v="0"/>
    <d v="2026-02-28T13:38:09"/>
    <s v="Normal purchase"/>
    <n v="0.32000166385890477"/>
  </r>
  <r>
    <s v="CUST008"/>
    <x v="3"/>
    <x v="1"/>
    <x v="0"/>
    <n v="1081.1400000000001"/>
    <n v="19"/>
    <x v="2"/>
    <x v="74"/>
    <n v="367.59"/>
    <x v="2"/>
    <d v="2026-02-28T13:38:09"/>
    <s v="High purchase"/>
    <n v="0.34000221987901652"/>
  </r>
  <r>
    <s v="CUST015"/>
    <x v="3"/>
    <x v="0"/>
    <x v="1"/>
    <n v="1923.66"/>
    <n v="9"/>
    <x v="0"/>
    <x v="75"/>
    <n v="769.46"/>
    <x v="0"/>
    <d v="2026-02-28T13:38:09"/>
    <s v="High purchase"/>
    <n v="0.39999792063046485"/>
  </r>
  <r>
    <s v="CUST025"/>
    <x v="24"/>
    <x v="4"/>
    <x v="1"/>
    <n v="728.71"/>
    <n v="14"/>
    <x v="3"/>
    <x v="76"/>
    <n v="327.92"/>
    <x v="3"/>
    <d v="2026-02-28T13:38:09"/>
    <s v="Normal purchase"/>
    <n v="0.4500006861440079"/>
  </r>
  <r>
    <s v="CUST019"/>
    <x v="7"/>
    <x v="4"/>
    <x v="1"/>
    <n v="1301.8900000000001"/>
    <n v="7"/>
    <x v="2"/>
    <x v="76"/>
    <n v="553.29999999999995"/>
    <x v="2"/>
    <d v="2026-02-28T13:38:09"/>
    <s v="High purchase"/>
    <n v="0.4249975036293388"/>
  </r>
  <r>
    <s v="CUST024"/>
    <x v="24"/>
    <x v="1"/>
    <x v="0"/>
    <n v="980.18"/>
    <n v="16"/>
    <x v="3"/>
    <x v="77"/>
    <n v="352.86"/>
    <x v="3"/>
    <d v="2026-02-28T13:38:09"/>
    <s v="Normal purchase"/>
    <n v="0.35999510294027631"/>
  </r>
  <r>
    <s v="CUST027"/>
    <x v="3"/>
    <x v="0"/>
    <x v="1"/>
    <n v="697.57"/>
    <n v="17"/>
    <x v="3"/>
    <x v="78"/>
    <n v="313.91000000000003"/>
    <x v="3"/>
    <d v="2026-02-28T13:38:09"/>
    <s v="Normal purchase"/>
    <n v="0.45000501741760685"/>
  </r>
  <r>
    <s v="CUST006"/>
    <x v="26"/>
    <x v="0"/>
    <x v="3"/>
    <n v="1193.6099999999999"/>
    <n v="1"/>
    <x v="2"/>
    <x v="78"/>
    <n v="355.1"/>
    <x v="2"/>
    <d v="2026-02-28T13:38:09"/>
    <s v="High purchase"/>
    <n v="0.29750085873945431"/>
  </r>
  <r>
    <s v="CUST009"/>
    <x v="9"/>
    <x v="2"/>
    <x v="2"/>
    <n v="771.02"/>
    <n v="1"/>
    <x v="1"/>
    <x v="79"/>
    <n v="192.76"/>
    <x v="1"/>
    <d v="2026-02-28T13:38:09"/>
    <s v="Normal purchase"/>
    <n v="0.25000648491608518"/>
  </r>
  <r>
    <s v="CUST003"/>
    <x v="25"/>
    <x v="3"/>
    <x v="1"/>
    <n v="661.09"/>
    <n v="1"/>
    <x v="0"/>
    <x v="80"/>
    <n v="264.44"/>
    <x v="0"/>
    <d v="2026-02-28T13:38:09"/>
    <s v="Normal purchase"/>
    <n v="0.4000060506133809"/>
  </r>
  <r>
    <s v="CUST012"/>
    <x v="18"/>
    <x v="0"/>
    <x v="2"/>
    <n v="688.83"/>
    <n v="15"/>
    <x v="1"/>
    <x v="81"/>
    <n v="172.21"/>
    <x v="1"/>
    <d v="2026-02-28T13:38:09"/>
    <s v="Normal purchase"/>
    <n v="0.2500036293425083"/>
  </r>
  <r>
    <s v="CUST013"/>
    <x v="5"/>
    <x v="4"/>
    <x v="0"/>
    <n v="1249.0999999999999"/>
    <n v="4"/>
    <x v="4"/>
    <x v="82"/>
    <n v="474.66"/>
    <x v="3"/>
    <d v="2026-02-28T13:38:09"/>
    <s v="High purchase"/>
    <n v="0.3800016011528301"/>
  </r>
  <r>
    <s v="CUST008"/>
    <x v="3"/>
    <x v="1"/>
    <x v="4"/>
    <n v="1014.22"/>
    <n v="14"/>
    <x v="4"/>
    <x v="83"/>
    <n v="433.58"/>
    <x v="3"/>
    <d v="2026-02-28T13:38:09"/>
    <s v="High purchase"/>
    <n v="0.42750093668040462"/>
  </r>
  <r>
    <s v="CUST025"/>
    <x v="14"/>
    <x v="1"/>
    <x v="0"/>
    <n v="1010.58"/>
    <n v="2"/>
    <x v="2"/>
    <x v="84"/>
    <n v="343.6"/>
    <x v="2"/>
    <d v="2026-02-28T13:38:09"/>
    <s v="High purchase"/>
    <n v="0.34000277068614065"/>
  </r>
  <r>
    <s v="CUST026"/>
    <x v="20"/>
    <x v="3"/>
    <x v="3"/>
    <n v="957.29"/>
    <n v="4"/>
    <x v="4"/>
    <x v="84"/>
    <n v="318.3"/>
    <x v="3"/>
    <d v="2026-02-28T13:38:09"/>
    <s v="Normal purchase"/>
    <n v="0.33250112296169398"/>
  </r>
  <r>
    <s v="CUST001"/>
    <x v="12"/>
    <x v="3"/>
    <x v="3"/>
    <n v="1077.92"/>
    <n v="3"/>
    <x v="4"/>
    <x v="85"/>
    <n v="358.41"/>
    <x v="3"/>
    <d v="2026-02-28T13:38:09"/>
    <s v="High purchase"/>
    <n v="0.33250148434021076"/>
  </r>
  <r>
    <s v="CUST028"/>
    <x v="15"/>
    <x v="2"/>
    <x v="1"/>
    <n v="1163.01"/>
    <n v="5"/>
    <x v="1"/>
    <x v="86"/>
    <n v="581.5"/>
    <x v="1"/>
    <d v="2026-02-28T13:38:09"/>
    <s v="High purchase"/>
    <n v="0.49999570081082706"/>
  </r>
  <r>
    <s v="CUST025"/>
    <x v="12"/>
    <x v="1"/>
    <x v="4"/>
    <n v="1014.56"/>
    <n v="10"/>
    <x v="3"/>
    <x v="87"/>
    <n v="410.9"/>
    <x v="3"/>
    <d v="2026-02-28T13:38:09"/>
    <s v="High purchase"/>
    <n v="0.40500315407664406"/>
  </r>
  <r>
    <s v="CUST019"/>
    <x v="2"/>
    <x v="2"/>
    <x v="2"/>
    <n v="718.04"/>
    <n v="14"/>
    <x v="1"/>
    <x v="88"/>
    <n v="179.51"/>
    <x v="1"/>
    <d v="2026-02-28T13:38:09"/>
    <s v="Normal purchase"/>
    <n v="0.25"/>
  </r>
  <r>
    <s v="CUST004"/>
    <x v="2"/>
    <x v="4"/>
    <x v="1"/>
    <n v="1277.8499999999999"/>
    <n v="18"/>
    <x v="0"/>
    <x v="88"/>
    <n v="511.14"/>
    <x v="0"/>
    <d v="2026-02-28T13:38:09"/>
    <s v="High purchase"/>
    <n v="0.4"/>
  </r>
  <r>
    <s v="CUST024"/>
    <x v="3"/>
    <x v="3"/>
    <x v="2"/>
    <n v="706.73"/>
    <n v="1"/>
    <x v="2"/>
    <x v="88"/>
    <n v="150.18"/>
    <x v="2"/>
    <d v="2026-02-28T13:38:09"/>
    <s v="Normal purchase"/>
    <n v="0.21249982312905918"/>
  </r>
  <r>
    <s v="CUST002"/>
    <x v="15"/>
    <x v="1"/>
    <x v="2"/>
    <n v="1410.59"/>
    <n v="15"/>
    <x v="1"/>
    <x v="89"/>
    <n v="352.65"/>
    <x v="1"/>
    <d v="2026-02-28T13:38:09"/>
    <s v="High purchase"/>
    <n v="0.25000177230804133"/>
  </r>
  <r>
    <s v="CUST009"/>
    <x v="21"/>
    <x v="2"/>
    <x v="3"/>
    <n v="1350.33"/>
    <n v="10"/>
    <x v="1"/>
    <x v="89"/>
    <n v="472.62"/>
    <x v="1"/>
    <d v="2026-02-28T13:38:09"/>
    <s v="High purchase"/>
    <n v="0.35000333251871768"/>
  </r>
  <r>
    <s v="CUST029"/>
    <x v="12"/>
    <x v="1"/>
    <x v="2"/>
    <n v="919.18"/>
    <n v="4"/>
    <x v="2"/>
    <x v="89"/>
    <n v="195.33"/>
    <x v="2"/>
    <d v="2026-02-28T13:38:09"/>
    <s v="Normal purchase"/>
    <n v="0.21250462368632914"/>
  </r>
  <r>
    <s v="CUST027"/>
    <x v="3"/>
    <x v="0"/>
    <x v="2"/>
    <n v="258.51"/>
    <n v="19"/>
    <x v="1"/>
    <x v="90"/>
    <n v="64.63"/>
    <x v="1"/>
    <d v="2026-02-28T13:38:09"/>
    <s v="Normal purchase"/>
    <n v="0.25000967080577152"/>
  </r>
  <r>
    <s v="CUST011"/>
    <x v="21"/>
    <x v="1"/>
    <x v="0"/>
    <n v="1213.48"/>
    <n v="5"/>
    <x v="4"/>
    <x v="90"/>
    <n v="461.12"/>
    <x v="3"/>
    <d v="2026-02-28T13:38:09"/>
    <s v="High purchase"/>
    <n v="0.37999802221709461"/>
  </r>
  <r>
    <s v="CUST021"/>
    <x v="9"/>
    <x v="4"/>
    <x v="0"/>
    <n v="1150.28"/>
    <n v="8"/>
    <x v="4"/>
    <x v="91"/>
    <n v="437.11"/>
    <x v="3"/>
    <d v="2026-02-28T13:38:09"/>
    <s v="High purchase"/>
    <n v="0.38000312967277533"/>
  </r>
  <r>
    <s v="CUST014"/>
    <x v="26"/>
    <x v="2"/>
    <x v="3"/>
    <n v="853.86"/>
    <n v="8"/>
    <x v="3"/>
    <x v="91"/>
    <n v="268.97000000000003"/>
    <x v="3"/>
    <d v="2026-02-28T13:38:09"/>
    <s v="Normal purchase"/>
    <n v="0.31500480172393602"/>
  </r>
  <r>
    <s v="CUST018"/>
    <x v="12"/>
    <x v="2"/>
    <x v="2"/>
    <n v="1061.04"/>
    <n v="1"/>
    <x v="1"/>
    <x v="92"/>
    <n v="265.26"/>
    <x v="1"/>
    <d v="2026-02-28T13:38:09"/>
    <s v="High purchase"/>
    <n v="0.25"/>
  </r>
  <r>
    <s v="CUST001"/>
    <x v="11"/>
    <x v="0"/>
    <x v="2"/>
    <n v="894.55"/>
    <n v="19"/>
    <x v="0"/>
    <x v="93"/>
    <n v="178.91"/>
    <x v="0"/>
    <d v="2026-02-28T13:38:09"/>
    <s v="Normal purchase"/>
    <n v="0.2"/>
  </r>
  <r>
    <s v="CUST007"/>
    <x v="9"/>
    <x v="3"/>
    <x v="4"/>
    <n v="833.91"/>
    <n v="3"/>
    <x v="4"/>
    <x v="94"/>
    <n v="356.5"/>
    <x v="3"/>
    <d v="2026-02-28T13:38:09"/>
    <s v="Normal purchase"/>
    <n v="0.42750416711635547"/>
  </r>
  <r>
    <s v="CUST015"/>
    <x v="26"/>
    <x v="0"/>
    <x v="3"/>
    <n v="820.19"/>
    <n v="4"/>
    <x v="0"/>
    <x v="95"/>
    <n v="229.65"/>
    <x v="0"/>
    <d v="2026-02-28T13:38:09"/>
    <s v="Normal purchase"/>
    <n v="0.2799960984649898"/>
  </r>
  <r>
    <s v="CUST015"/>
    <x v="9"/>
    <x v="4"/>
    <x v="2"/>
    <n v="511.74"/>
    <n v="8"/>
    <x v="4"/>
    <x v="96"/>
    <n v="121.54"/>
    <x v="3"/>
    <d v="2026-02-28T13:38:09"/>
    <s v="Normal purchase"/>
    <n v="0.2375034197053191"/>
  </r>
  <r>
    <s v="CUST002"/>
    <x v="21"/>
    <x v="2"/>
    <x v="3"/>
    <n v="806.03"/>
    <n v="19"/>
    <x v="4"/>
    <x v="97"/>
    <n v="268"/>
    <x v="3"/>
    <d v="2026-02-28T13:38:09"/>
    <s v="Normal purchase"/>
    <n v="0.33249382777315983"/>
  </r>
  <r>
    <s v="CUST001"/>
    <x v="4"/>
    <x v="4"/>
    <x v="3"/>
    <n v="1432.47"/>
    <n v="16"/>
    <x v="2"/>
    <x v="98"/>
    <n v="426.16"/>
    <x v="2"/>
    <d v="2026-02-28T13:38:09"/>
    <s v="High purchase"/>
    <n v="0.29750012216660732"/>
  </r>
  <r>
    <s v="CUST027"/>
    <x v="5"/>
    <x v="4"/>
    <x v="2"/>
    <n v="1488.58"/>
    <n v="10"/>
    <x v="2"/>
    <x v="98"/>
    <n v="316.32"/>
    <x v="2"/>
    <d v="2026-02-28T13:38:09"/>
    <s v="High purchase"/>
    <n v="0.21249781671122817"/>
  </r>
  <r>
    <s v="CUST026"/>
    <x v="24"/>
    <x v="1"/>
    <x v="0"/>
    <n v="1231.26"/>
    <n v="9"/>
    <x v="1"/>
    <x v="99"/>
    <n v="492.5"/>
    <x v="1"/>
    <d v="2026-02-28T13:38:09"/>
    <s v="High purchase"/>
    <n v="0.39999675129542095"/>
  </r>
  <r>
    <s v="CUST026"/>
    <x v="11"/>
    <x v="0"/>
    <x v="2"/>
    <n v="1161.67"/>
    <n v="19"/>
    <x v="0"/>
    <x v="100"/>
    <n v="232.33"/>
    <x v="0"/>
    <d v="2026-02-28T13:38:09"/>
    <s v="High purchase"/>
    <n v="0.19999655668132946"/>
  </r>
  <r>
    <s v="CUST022"/>
    <x v="12"/>
    <x v="4"/>
    <x v="4"/>
    <n v="388.23"/>
    <n v="16"/>
    <x v="4"/>
    <x v="101"/>
    <n v="165.97"/>
    <x v="3"/>
    <d v="2026-02-28T13:38:09"/>
    <s v="Normal purchase"/>
    <n v="0.42750431445277282"/>
  </r>
  <r>
    <s v="CUST004"/>
    <x v="6"/>
    <x v="3"/>
    <x v="1"/>
    <n v="1589.42"/>
    <n v="6"/>
    <x v="2"/>
    <x v="102"/>
    <n v="675.5"/>
    <x v="2"/>
    <d v="2026-02-28T13:38:09"/>
    <s v="High purchase"/>
    <n v="0.42499779793887077"/>
  </r>
  <r>
    <s v="CUST001"/>
    <x v="26"/>
    <x v="3"/>
    <x v="1"/>
    <n v="336.66"/>
    <n v="13"/>
    <x v="0"/>
    <x v="102"/>
    <n v="134.66"/>
    <x v="0"/>
    <d v="2026-02-28T13:38:09"/>
    <s v="Normal purchase"/>
    <n v="0.39998811857660543"/>
  </r>
  <r>
    <s v="CUST022"/>
    <x v="3"/>
    <x v="0"/>
    <x v="0"/>
    <n v="1353.79"/>
    <n v="14"/>
    <x v="3"/>
    <x v="103"/>
    <n v="487.36"/>
    <x v="3"/>
    <d v="2026-02-28T13:38:09"/>
    <s v="High purchase"/>
    <n v="0.35999674986519331"/>
  </r>
  <r>
    <s v="CUST011"/>
    <x v="25"/>
    <x v="4"/>
    <x v="1"/>
    <n v="662.61"/>
    <n v="11"/>
    <x v="4"/>
    <x v="104"/>
    <n v="314.74"/>
    <x v="3"/>
    <d v="2026-02-28T13:38:09"/>
    <s v="Normal purchase"/>
    <n v="0.47500037729584521"/>
  </r>
  <r>
    <s v="CUST028"/>
    <x v="14"/>
    <x v="3"/>
    <x v="4"/>
    <n v="309.42"/>
    <n v="1"/>
    <x v="0"/>
    <x v="104"/>
    <n v="111.39"/>
    <x v="0"/>
    <d v="2026-02-28T13:38:09"/>
    <s v="Normal purchase"/>
    <n v="0.35999612177622647"/>
  </r>
  <r>
    <s v="CUST011"/>
    <x v="5"/>
    <x v="3"/>
    <x v="0"/>
    <n v="884.63"/>
    <n v="18"/>
    <x v="3"/>
    <x v="105"/>
    <n v="318.47000000000003"/>
    <x v="3"/>
    <d v="2026-02-28T13:38:09"/>
    <s v="Normal purchase"/>
    <n v="0.36000361733153979"/>
  </r>
  <r>
    <s v="CUST028"/>
    <x v="3"/>
    <x v="4"/>
    <x v="4"/>
    <n v="745.05"/>
    <n v="10"/>
    <x v="3"/>
    <x v="106"/>
    <n v="301.75"/>
    <x v="3"/>
    <d v="2026-02-28T13:38:09"/>
    <s v="Normal purchase"/>
    <n v="0.40500637541104628"/>
  </r>
  <r>
    <s v="CUST016"/>
    <x v="2"/>
    <x v="2"/>
    <x v="1"/>
    <n v="870.23"/>
    <n v="5"/>
    <x v="4"/>
    <x v="106"/>
    <n v="413.36"/>
    <x v="3"/>
    <d v="2026-02-28T13:38:09"/>
    <s v="Normal purchase"/>
    <n v="0.47500086184112245"/>
  </r>
  <r>
    <s v="CUST010"/>
    <x v="5"/>
    <x v="0"/>
    <x v="3"/>
    <n v="862.19"/>
    <n v="18"/>
    <x v="4"/>
    <x v="107"/>
    <n v="286.68"/>
    <x v="3"/>
    <d v="2026-02-28T13:38:09"/>
    <s v="Normal purchase"/>
    <n v="0.33250211670281493"/>
  </r>
  <r>
    <s v="CUST013"/>
    <x v="20"/>
    <x v="3"/>
    <x v="1"/>
    <n v="1171.18"/>
    <n v="19"/>
    <x v="4"/>
    <x v="108"/>
    <n v="556.30999999999995"/>
    <x v="3"/>
    <d v="2026-02-28T13:38:09"/>
    <s v="High purchase"/>
    <n v="0.47499957308014135"/>
  </r>
  <r>
    <s v="CUST015"/>
    <x v="1"/>
    <x v="2"/>
    <x v="3"/>
    <n v="1054.56"/>
    <n v="11"/>
    <x v="3"/>
    <x v="109"/>
    <n v="332.19"/>
    <x v="3"/>
    <d v="2026-02-28T13:38:09"/>
    <s v="High purchase"/>
    <n v="0.31500341374601731"/>
  </r>
  <r>
    <s v="CUST015"/>
    <x v="3"/>
    <x v="3"/>
    <x v="2"/>
    <n v="1681.21"/>
    <n v="5"/>
    <x v="0"/>
    <x v="110"/>
    <n v="336.24"/>
    <x v="0"/>
    <d v="2026-02-28T13:38:09"/>
    <s v="High purchase"/>
    <n v="0.19999881038061873"/>
  </r>
  <r>
    <s v="CUST015"/>
    <x v="8"/>
    <x v="0"/>
    <x v="1"/>
    <n v="379.77"/>
    <n v="9"/>
    <x v="4"/>
    <x v="111"/>
    <n v="180.39"/>
    <x v="3"/>
    <d v="2026-02-28T13:38:09"/>
    <s v="Normal purchase"/>
    <n v="0.47499802512046763"/>
  </r>
  <r>
    <s v="CUST008"/>
    <x v="12"/>
    <x v="4"/>
    <x v="1"/>
    <n v="1076.33"/>
    <n v="2"/>
    <x v="3"/>
    <x v="112"/>
    <n v="484.35"/>
    <x v="3"/>
    <d v="2026-02-28T13:38:09"/>
    <s v="High purchase"/>
    <n v="0.45000139362463193"/>
  </r>
  <r>
    <s v="CUST008"/>
    <x v="6"/>
    <x v="4"/>
    <x v="4"/>
    <n v="1250.71"/>
    <n v="7"/>
    <x v="1"/>
    <x v="112"/>
    <n v="562.82000000000005"/>
    <x v="1"/>
    <d v="2026-02-28T13:38:09"/>
    <s v="High purchase"/>
    <n v="0.45000039977292899"/>
  </r>
  <r>
    <s v="CUST023"/>
    <x v="2"/>
    <x v="2"/>
    <x v="1"/>
    <n v="1118.3399999999999"/>
    <n v="6"/>
    <x v="0"/>
    <x v="112"/>
    <n v="447.34"/>
    <x v="0"/>
    <d v="2026-02-28T13:38:09"/>
    <s v="High purchase"/>
    <n v="0.40000357672979597"/>
  </r>
  <r>
    <s v="CUST024"/>
    <x v="17"/>
    <x v="3"/>
    <x v="1"/>
    <n v="1622.62"/>
    <n v="12"/>
    <x v="0"/>
    <x v="113"/>
    <n v="649.04999999999995"/>
    <x v="0"/>
    <d v="2026-02-28T13:38:09"/>
    <s v="High purchase"/>
    <n v="0.40000123257447834"/>
  </r>
  <r>
    <s v="CUST018"/>
    <x v="14"/>
    <x v="3"/>
    <x v="0"/>
    <n v="640.64"/>
    <n v="11"/>
    <x v="0"/>
    <x v="114"/>
    <n v="205"/>
    <x v="0"/>
    <d v="2026-02-28T13:38:09"/>
    <s v="Normal purchase"/>
    <n v="0.31999250749250752"/>
  </r>
  <r>
    <s v="CUST030"/>
    <x v="11"/>
    <x v="0"/>
    <x v="1"/>
    <n v="585.16"/>
    <n v="17"/>
    <x v="3"/>
    <x v="115"/>
    <n v="263.32"/>
    <x v="3"/>
    <d v="2026-02-28T13:38:09"/>
    <s v="Normal purchase"/>
    <n v="0.44999658213138288"/>
  </r>
  <r>
    <s v="CUST030"/>
    <x v="6"/>
    <x v="1"/>
    <x v="1"/>
    <n v="1109.98"/>
    <n v="5"/>
    <x v="0"/>
    <x v="116"/>
    <n v="443.99"/>
    <x v="0"/>
    <d v="2026-02-28T13:38:09"/>
    <s v="High purchase"/>
    <n v="0.39999819816573273"/>
  </r>
  <r>
    <s v="CUST015"/>
    <x v="12"/>
    <x v="1"/>
    <x v="0"/>
    <n v="1098.08"/>
    <n v="9"/>
    <x v="3"/>
    <x v="117"/>
    <n v="395.31"/>
    <x v="3"/>
    <d v="2026-02-28T13:38:09"/>
    <s v="High purchase"/>
    <n v="0.36000109281655257"/>
  </r>
  <r>
    <s v="CUST002"/>
    <x v="14"/>
    <x v="0"/>
    <x v="4"/>
    <n v="827.25"/>
    <n v="7"/>
    <x v="3"/>
    <x v="118"/>
    <n v="335.04"/>
    <x v="3"/>
    <d v="2026-02-28T13:38:09"/>
    <s v="Normal purchase"/>
    <n v="0.40500453309156847"/>
  </r>
  <r>
    <s v="CUST024"/>
    <x v="5"/>
    <x v="4"/>
    <x v="1"/>
    <n v="741.88"/>
    <n v="16"/>
    <x v="3"/>
    <x v="119"/>
    <n v="333.85"/>
    <x v="3"/>
    <d v="2026-02-28T13:38:09"/>
    <s v="Normal purchase"/>
    <n v="0.45000539170755383"/>
  </r>
  <r>
    <s v="CUST004"/>
    <x v="0"/>
    <x v="1"/>
    <x v="4"/>
    <n v="1311.26"/>
    <n v="6"/>
    <x v="3"/>
    <x v="120"/>
    <n v="531.05999999999995"/>
    <x v="3"/>
    <d v="2026-02-28T13:38:09"/>
    <s v="High purchase"/>
    <n v="0.40499977121242159"/>
  </r>
  <r>
    <s v="CUST004"/>
    <x v="6"/>
    <x v="2"/>
    <x v="4"/>
    <n v="573.32000000000005"/>
    <n v="19"/>
    <x v="3"/>
    <x v="121"/>
    <n v="232.19"/>
    <x v="3"/>
    <d v="2026-02-28T13:38:09"/>
    <s v="Normal purchase"/>
    <n v="0.40499197655759434"/>
  </r>
  <r>
    <s v="CUST028"/>
    <x v="3"/>
    <x v="0"/>
    <x v="2"/>
    <n v="1115.22"/>
    <n v="14"/>
    <x v="0"/>
    <x v="122"/>
    <n v="223.04"/>
    <x v="0"/>
    <d v="2026-02-28T13:38:09"/>
    <s v="High purchase"/>
    <n v="0.19999641326375064"/>
  </r>
  <r>
    <s v="CUST012"/>
    <x v="12"/>
    <x v="3"/>
    <x v="1"/>
    <n v="845.84"/>
    <n v="4"/>
    <x v="1"/>
    <x v="123"/>
    <n v="422.92"/>
    <x v="1"/>
    <d v="2026-02-28T13:38:09"/>
    <s v="Normal purchase"/>
    <n v="0.5"/>
  </r>
  <r>
    <s v="CUST026"/>
    <x v="18"/>
    <x v="0"/>
    <x v="2"/>
    <n v="1029.8"/>
    <n v="3"/>
    <x v="1"/>
    <x v="124"/>
    <n v="257.45"/>
    <x v="1"/>
    <d v="2026-02-28T13:38:09"/>
    <s v="High purchase"/>
    <n v="0.25"/>
  </r>
  <r>
    <s v="CUST009"/>
    <x v="6"/>
    <x v="3"/>
    <x v="0"/>
    <n v="1189.83"/>
    <n v="2"/>
    <x v="0"/>
    <x v="125"/>
    <n v="380.75"/>
    <x v="0"/>
    <d v="2026-02-28T13:38:09"/>
    <s v="High purchase"/>
    <n v="0.32000369800727835"/>
  </r>
  <r>
    <s v="CUST003"/>
    <x v="11"/>
    <x v="2"/>
    <x v="0"/>
    <n v="704.28"/>
    <n v="15"/>
    <x v="0"/>
    <x v="126"/>
    <n v="225.37"/>
    <x v="0"/>
    <d v="2026-02-28T13:38:09"/>
    <s v="Normal purchase"/>
    <n v="0.32000056795592663"/>
  </r>
  <r>
    <s v="CUST002"/>
    <x v="13"/>
    <x v="4"/>
    <x v="4"/>
    <n v="1618.22"/>
    <n v="12"/>
    <x v="0"/>
    <x v="126"/>
    <n v="582.55999999999995"/>
    <x v="0"/>
    <d v="2026-02-28T13:38:09"/>
    <s v="High purchase"/>
    <n v="0.36000049437035753"/>
  </r>
  <r>
    <s v="CUST013"/>
    <x v="17"/>
    <x v="4"/>
    <x v="0"/>
    <n v="1014.43"/>
    <n v="2"/>
    <x v="2"/>
    <x v="127"/>
    <n v="344.91"/>
    <x v="2"/>
    <d v="2026-02-28T13:38:09"/>
    <s v="High purchase"/>
    <n v="0.34000374594599925"/>
  </r>
  <r>
    <s v="CUST018"/>
    <x v="6"/>
    <x v="4"/>
    <x v="1"/>
    <n v="826.97"/>
    <n v="18"/>
    <x v="0"/>
    <x v="128"/>
    <n v="330.79"/>
    <x v="0"/>
    <d v="2026-02-28T13:38:09"/>
    <s v="Normal purchase"/>
    <n v="0.40000241846741719"/>
  </r>
  <r>
    <s v="CUST017"/>
    <x v="6"/>
    <x v="4"/>
    <x v="1"/>
    <n v="1022.23"/>
    <n v="8"/>
    <x v="3"/>
    <x v="129"/>
    <n v="460"/>
    <x v="3"/>
    <d v="2026-02-28T13:38:09"/>
    <s v="High purchase"/>
    <n v="0.44999657611300781"/>
  </r>
  <r>
    <s v="CUST004"/>
    <x v="5"/>
    <x v="1"/>
    <x v="0"/>
    <n v="1099.69"/>
    <n v="6"/>
    <x v="1"/>
    <x v="130"/>
    <n v="439.88"/>
    <x v="1"/>
    <d v="2026-02-28T13:38:09"/>
    <s v="High purchase"/>
    <n v="0.40000363738871864"/>
  </r>
  <r>
    <s v="CUST028"/>
    <x v="23"/>
    <x v="3"/>
    <x v="0"/>
    <n v="710.52"/>
    <n v="8"/>
    <x v="3"/>
    <x v="131"/>
    <n v="255.79"/>
    <x v="3"/>
    <d v="2026-02-28T13:38:09"/>
    <s v="Normal purchase"/>
    <n v="0.36000394077576986"/>
  </r>
  <r>
    <s v="CUST028"/>
    <x v="20"/>
    <x v="3"/>
    <x v="0"/>
    <n v="499.18"/>
    <n v="15"/>
    <x v="0"/>
    <x v="132"/>
    <n v="159.74"/>
    <x v="0"/>
    <d v="2026-02-28T13:38:09"/>
    <s v="Normal purchase"/>
    <n v="0.3200048078849313"/>
  </r>
  <r>
    <s v="CUST014"/>
    <x v="9"/>
    <x v="2"/>
    <x v="0"/>
    <n v="1064.19"/>
    <n v="18"/>
    <x v="4"/>
    <x v="133"/>
    <n v="404.39"/>
    <x v="3"/>
    <d v="2026-02-28T13:38:09"/>
    <s v="High purchase"/>
    <n v="0.37999793269998777"/>
  </r>
  <r>
    <s v="CUST003"/>
    <x v="9"/>
    <x v="1"/>
    <x v="4"/>
    <n v="438.76"/>
    <n v="18"/>
    <x v="4"/>
    <x v="134"/>
    <n v="187.57"/>
    <x v="3"/>
    <d v="2026-02-28T13:38:09"/>
    <s v="Normal purchase"/>
    <n v="0.42750022791503328"/>
  </r>
  <r>
    <s v="CUST029"/>
    <x v="18"/>
    <x v="0"/>
    <x v="1"/>
    <n v="864.98"/>
    <n v="2"/>
    <x v="4"/>
    <x v="135"/>
    <n v="410.87"/>
    <x v="3"/>
    <d v="2026-02-28T13:38:09"/>
    <s v="Normal purchase"/>
    <n v="0.47500520243242617"/>
  </r>
  <r>
    <s v="CUST021"/>
    <x v="18"/>
    <x v="0"/>
    <x v="3"/>
    <n v="984.93"/>
    <n v="14"/>
    <x v="0"/>
    <x v="136"/>
    <n v="275.77999999999997"/>
    <x v="0"/>
    <d v="2026-02-28T13:38:09"/>
    <s v="Normal purchase"/>
    <n v="0.27999959387976808"/>
  </r>
  <r>
    <s v="CUST007"/>
    <x v="18"/>
    <x v="0"/>
    <x v="1"/>
    <n v="1493.49"/>
    <n v="18"/>
    <x v="1"/>
    <x v="137"/>
    <n v="746.74"/>
    <x v="1"/>
    <d v="2026-02-28T13:38:09"/>
    <s v="High purchase"/>
    <n v="0.499996652136941"/>
  </r>
  <r>
    <s v="CUST009"/>
    <x v="17"/>
    <x v="2"/>
    <x v="1"/>
    <n v="689.43"/>
    <n v="9"/>
    <x v="3"/>
    <x v="138"/>
    <n v="310.24"/>
    <x v="3"/>
    <d v="2026-02-28T13:38:09"/>
    <s v="Normal purchase"/>
    <n v="0.44999492334247138"/>
  </r>
  <r>
    <s v="CUST023"/>
    <x v="20"/>
    <x v="2"/>
    <x v="1"/>
    <n v="682.24"/>
    <n v="1"/>
    <x v="1"/>
    <x v="139"/>
    <n v="341.12"/>
    <x v="1"/>
    <d v="2026-02-28T13:38:09"/>
    <s v="Normal purchase"/>
    <n v="0.5"/>
  </r>
  <r>
    <s v="CUST029"/>
    <x v="4"/>
    <x v="3"/>
    <x v="2"/>
    <n v="458.54"/>
    <n v="15"/>
    <x v="0"/>
    <x v="140"/>
    <n v="91.71"/>
    <x v="0"/>
    <d v="2026-02-28T13:38:09"/>
    <s v="Normal purchase"/>
    <n v="0.20000436166964711"/>
  </r>
  <r>
    <s v="CUST009"/>
    <x v="4"/>
    <x v="2"/>
    <x v="3"/>
    <n v="1184.25"/>
    <n v="11"/>
    <x v="0"/>
    <x v="141"/>
    <n v="331.59"/>
    <x v="0"/>
    <d v="2026-02-28T13:38:09"/>
    <s v="High purchase"/>
    <n v="0.27999999999999997"/>
  </r>
  <r>
    <s v="CUST007"/>
    <x v="0"/>
    <x v="2"/>
    <x v="1"/>
    <n v="762.14"/>
    <n v="9"/>
    <x v="1"/>
    <x v="142"/>
    <n v="381.07"/>
    <x v="1"/>
    <d v="2026-02-28T13:38:09"/>
    <s v="Normal purchase"/>
    <n v="0.5"/>
  </r>
  <r>
    <s v="CUST030"/>
    <x v="17"/>
    <x v="3"/>
    <x v="0"/>
    <n v="750.71"/>
    <n v="10"/>
    <x v="2"/>
    <x v="142"/>
    <n v="255.24"/>
    <x v="2"/>
    <d v="2026-02-28T13:38:09"/>
    <s v="Normal purchase"/>
    <n v="0.33999813509877314"/>
  </r>
  <r>
    <s v="CUST018"/>
    <x v="26"/>
    <x v="4"/>
    <x v="1"/>
    <n v="1456.94"/>
    <n v="14"/>
    <x v="4"/>
    <x v="143"/>
    <n v="692.05"/>
    <x v="3"/>
    <d v="2026-02-28T13:38:09"/>
    <s v="High purchase"/>
    <n v="0.47500240229522145"/>
  </r>
  <r>
    <s v="CUST008"/>
    <x v="21"/>
    <x v="1"/>
    <x v="3"/>
    <n v="1093.3800000000001"/>
    <n v="17"/>
    <x v="3"/>
    <x v="143"/>
    <n v="344.41"/>
    <x v="3"/>
    <d v="2026-02-28T13:38:09"/>
    <s v="High purchase"/>
    <n v="0.31499570140298888"/>
  </r>
  <r>
    <s v="CUST014"/>
    <x v="11"/>
    <x v="0"/>
    <x v="1"/>
    <n v="934.27"/>
    <n v="8"/>
    <x v="2"/>
    <x v="144"/>
    <n v="397.06"/>
    <x v="2"/>
    <d v="2026-02-28T13:38:09"/>
    <s v="Normal purchase"/>
    <n v="0.42499491581662691"/>
  </r>
  <r>
    <s v="CUST024"/>
    <x v="8"/>
    <x v="4"/>
    <x v="1"/>
    <n v="1465.35"/>
    <n v="8"/>
    <x v="0"/>
    <x v="144"/>
    <n v="586.14"/>
    <x v="0"/>
    <d v="2026-02-28T13:38:09"/>
    <s v="High purchase"/>
    <n v="0.4"/>
  </r>
  <r>
    <s v="CUST028"/>
    <x v="1"/>
    <x v="2"/>
    <x v="4"/>
    <n v="740.8"/>
    <n v="3"/>
    <x v="1"/>
    <x v="145"/>
    <n v="333.36"/>
    <x v="1"/>
    <d v="2026-02-28T13:38:09"/>
    <s v="Normal purchase"/>
    <n v="0.45000000000000007"/>
  </r>
  <r>
    <s v="CUST015"/>
    <x v="11"/>
    <x v="0"/>
    <x v="4"/>
    <n v="545.44000000000005"/>
    <n v="17"/>
    <x v="1"/>
    <x v="146"/>
    <n v="245.45"/>
    <x v="1"/>
    <d v="2026-02-28T13:38:09"/>
    <s v="Normal purchase"/>
    <n v="0.45000366676444697"/>
  </r>
  <r>
    <s v="CUST010"/>
    <x v="8"/>
    <x v="1"/>
    <x v="0"/>
    <n v="997.61"/>
    <n v="8"/>
    <x v="4"/>
    <x v="146"/>
    <n v="379.09"/>
    <x v="3"/>
    <d v="2026-02-28T13:38:09"/>
    <s v="Normal purchase"/>
    <n v="0.37999819568769355"/>
  </r>
  <r>
    <s v="CUST016"/>
    <x v="8"/>
    <x v="2"/>
    <x v="1"/>
    <n v="928.32"/>
    <n v="2"/>
    <x v="4"/>
    <x v="147"/>
    <n v="440.95"/>
    <x v="3"/>
    <d v="2026-02-28T13:38:09"/>
    <s v="Normal purchase"/>
    <n v="0.47499784557049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609F1A8-56D5-4983-B9EF-0FB912DB0480}"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7:I33" firstHeaderRow="0" firstDataRow="1" firstDataCol="1"/>
  <pivotFields count="16">
    <pivotField showAll="0"/>
    <pivotField showAll="0"/>
    <pivotField axis="axisRow" showAll="0">
      <items count="6">
        <item x="4"/>
        <item x="1"/>
        <item x="3"/>
        <item x="2"/>
        <item x="0"/>
        <item t="default"/>
      </items>
    </pivotField>
    <pivotField showAll="0">
      <items count="6">
        <item x="0"/>
        <item x="1"/>
        <item x="2"/>
        <item x="3"/>
        <item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items count="5">
        <item x="0"/>
        <item x="3"/>
        <item x="2"/>
        <item x="1"/>
        <item t="default"/>
      </items>
    </pivotField>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2"/>
  </rowFields>
  <rowItems count="6">
    <i>
      <x/>
    </i>
    <i>
      <x v="1"/>
    </i>
    <i>
      <x v="2"/>
    </i>
    <i>
      <x v="3"/>
    </i>
    <i>
      <x v="4"/>
    </i>
    <i t="grand">
      <x/>
    </i>
  </rowItems>
  <colFields count="1">
    <field x="-2"/>
  </colFields>
  <colItems count="2">
    <i>
      <x/>
    </i>
    <i i="1">
      <x v="1"/>
    </i>
  </colItems>
  <dataFields count="2">
    <dataField name="Sum of Profit" fld="8" baseField="0" baseItem="0" numFmtId="2"/>
    <dataField name="Sum of Sales" fld="4" baseField="0" baseItem="0" numFmtId="2"/>
  </dataField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A0C5B5-E66E-4040-8F6A-3F73D39834F8}" name="PivotTable19" cacheId="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I58:J64" firstHeaderRow="1" firstDataRow="1" firstDataCol="1"/>
  <pivotFields count="13">
    <pivotField showAll="0"/>
    <pivotField showAll="0"/>
    <pivotField showAll="0"/>
    <pivotField axis="axisRow" showAll="0">
      <items count="6">
        <item x="0"/>
        <item x="1"/>
        <item x="2"/>
        <item x="3"/>
        <item x="4"/>
        <item t="default"/>
      </items>
    </pivotField>
    <pivotField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numFmtId="2" showAll="0"/>
    <pivotField showAll="0"/>
    <pivotField numFmtId="22" showAll="0"/>
    <pivotField showAll="0">
      <items count="3">
        <item x="0"/>
        <item x="1"/>
        <item t="default"/>
      </items>
    </pivotField>
    <pivotField dataField="1" numFmtId="10" showAll="0">
      <items count="192">
        <item x="165"/>
        <item x="138"/>
        <item x="57"/>
        <item x="29"/>
        <item x="151"/>
        <item x="73"/>
        <item x="92"/>
        <item x="101"/>
        <item x="15"/>
        <item x="62"/>
        <item x="181"/>
        <item x="54"/>
        <item x="74"/>
        <item x="136"/>
        <item x="71"/>
        <item x="123"/>
        <item x="21"/>
        <item x="3"/>
        <item x="126"/>
        <item x="30"/>
        <item x="81"/>
        <item x="49"/>
        <item x="33"/>
        <item x="63"/>
        <item x="6"/>
        <item x="67"/>
        <item x="50"/>
        <item x="133"/>
        <item x="69"/>
        <item x="23"/>
        <item x="102"/>
        <item x="25"/>
        <item x="124"/>
        <item x="84"/>
        <item x="114"/>
        <item x="45"/>
        <item x="112"/>
        <item x="19"/>
        <item x="127"/>
        <item x="132"/>
        <item x="7"/>
        <item x="55"/>
        <item x="178"/>
        <item x="182"/>
        <item x="48"/>
        <item x="38"/>
        <item x="64"/>
        <item x="32"/>
        <item x="135"/>
        <item x="111"/>
        <item x="95"/>
        <item x="44"/>
        <item x="14"/>
        <item x="90"/>
        <item x="185"/>
        <item x="61"/>
        <item x="89"/>
        <item x="150"/>
        <item x="5"/>
        <item x="130"/>
        <item x="157"/>
        <item x="17"/>
        <item x="72"/>
        <item x="35"/>
        <item x="18"/>
        <item x="4"/>
        <item x="167"/>
        <item x="0"/>
        <item x="104"/>
        <item x="166"/>
        <item x="174"/>
        <item x="134"/>
        <item x="37"/>
        <item x="66"/>
        <item x="118"/>
        <item x="119"/>
        <item x="148"/>
        <item x="13"/>
        <item x="76"/>
        <item x="11"/>
        <item x="93"/>
        <item x="183"/>
        <item x="105"/>
        <item x="117"/>
        <item x="16"/>
        <item x="169"/>
        <item x="39"/>
        <item x="80"/>
        <item x="103"/>
        <item x="75"/>
        <item x="26"/>
        <item x="125"/>
        <item x="52"/>
        <item x="85"/>
        <item x="97"/>
        <item x="109"/>
        <item x="53"/>
        <item x="144"/>
        <item x="142"/>
        <item x="41"/>
        <item x="168"/>
        <item x="160"/>
        <item x="99"/>
        <item x="59"/>
        <item x="145"/>
        <item x="40"/>
        <item x="58"/>
        <item x="173"/>
        <item x="43"/>
        <item x="27"/>
        <item x="175"/>
        <item x="128"/>
        <item x="189"/>
        <item x="12"/>
        <item x="31"/>
        <item x="82"/>
        <item x="115"/>
        <item x="88"/>
        <item x="129"/>
        <item x="65"/>
        <item x="8"/>
        <item x="91"/>
        <item x="46"/>
        <item x="42"/>
        <item x="87"/>
        <item x="141"/>
        <item x="79"/>
        <item x="56"/>
        <item x="137"/>
        <item x="94"/>
        <item x="106"/>
        <item x="1"/>
        <item x="159"/>
        <item x="122"/>
        <item x="156"/>
        <item x="170"/>
        <item x="22"/>
        <item x="155"/>
        <item x="172"/>
        <item x="2"/>
        <item x="113"/>
        <item x="164"/>
        <item x="28"/>
        <item x="24"/>
        <item x="163"/>
        <item x="121"/>
        <item x="161"/>
        <item x="146"/>
        <item x="186"/>
        <item x="108"/>
        <item x="140"/>
        <item x="34"/>
        <item x="36"/>
        <item x="10"/>
        <item x="176"/>
        <item x="116"/>
        <item x="131"/>
        <item x="139"/>
        <item x="68"/>
        <item x="180"/>
        <item x="171"/>
        <item x="158"/>
        <item x="77"/>
        <item x="78"/>
        <item x="86"/>
        <item x="83"/>
        <item x="70"/>
        <item x="187"/>
        <item x="154"/>
        <item x="107"/>
        <item x="51"/>
        <item x="96"/>
        <item x="153"/>
        <item x="47"/>
        <item x="188"/>
        <item x="100"/>
        <item x="110"/>
        <item x="162"/>
        <item x="60"/>
        <item x="9"/>
        <item x="190"/>
        <item x="152"/>
        <item x="149"/>
        <item x="143"/>
        <item x="147"/>
        <item x="184"/>
        <item x="177"/>
        <item x="120"/>
        <item x="179"/>
        <item x="20"/>
        <item x="98"/>
        <item t="default"/>
      </items>
    </pivotField>
  </pivotFields>
  <rowFields count="1">
    <field x="3"/>
  </rowFields>
  <rowItems count="6">
    <i>
      <x/>
    </i>
    <i>
      <x v="1"/>
    </i>
    <i>
      <x v="2"/>
    </i>
    <i>
      <x v="3"/>
    </i>
    <i>
      <x v="4"/>
    </i>
    <i t="grand">
      <x/>
    </i>
  </rowItems>
  <colItems count="1">
    <i/>
  </colItems>
  <dataFields count="1">
    <dataField name="Average of Profit Margin" fld="12" subtotal="average" baseField="3" baseItem="0" numFmtId="10"/>
  </dataFields>
  <chartFormats count="5">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E093B-112E-4A15-88FF-8F00AFE1C1B5}"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I38:K41" firstHeaderRow="0" firstDataRow="1" firstDataCol="1"/>
  <pivotFields count="15">
    <pivotField showAll="0"/>
    <pivotField showAll="0"/>
    <pivotField showAll="0"/>
    <pivotField showAll="0"/>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pivotField numFmtId="22" showAll="0"/>
    <pivotField axis="axisRow" showAll="0">
      <items count="5">
        <item m="1" x="2"/>
        <item m="1" x="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3">
    <i>
      <x v="2"/>
    </i>
    <i>
      <x v="3"/>
    </i>
    <i t="grand">
      <x/>
    </i>
  </rowItems>
  <colFields count="1">
    <field x="-2"/>
  </colFields>
  <colItems count="2">
    <i>
      <x/>
    </i>
    <i i="1">
      <x v="1"/>
    </i>
  </colItems>
  <dataFields count="2">
    <dataField name="Average of Profit" fld="8" subtotal="average" baseField="0" baseItem="0" numFmtId="2"/>
    <dataField name="Sum of Sales" fld="4" baseField="0" baseItem="0" numFmtId="2"/>
  </dataFields>
  <chartFormats count="6">
    <chartFormat chart="12" format="14" series="1">
      <pivotArea type="data" outline="0" fieldPosition="0">
        <references count="1">
          <reference field="4294967294" count="1" selected="0">
            <x v="0"/>
          </reference>
        </references>
      </pivotArea>
    </chartFormat>
    <chartFormat chart="12" format="15" series="1">
      <pivotArea type="data" outline="0" fieldPosition="0">
        <references count="1">
          <reference field="4294967294" count="1" selected="0">
            <x v="1"/>
          </reference>
        </references>
      </pivotArea>
    </chartFormat>
    <chartFormat chart="12" format="16">
      <pivotArea type="data" outline="0" fieldPosition="0">
        <references count="2">
          <reference field="4294967294" count="1" selected="0">
            <x v="0"/>
          </reference>
          <reference field="11" count="1" selected="0">
            <x v="2"/>
          </reference>
        </references>
      </pivotArea>
    </chartFormat>
    <chartFormat chart="12" format="17">
      <pivotArea type="data" outline="0" fieldPosition="0">
        <references count="2">
          <reference field="4294967294" count="1" selected="0">
            <x v="0"/>
          </reference>
          <reference field="11" count="1" selected="0">
            <x v="3"/>
          </reference>
        </references>
      </pivotArea>
    </chartFormat>
    <chartFormat chart="12" format="18">
      <pivotArea type="data" outline="0" fieldPosition="0">
        <references count="2">
          <reference field="4294967294" count="1" selected="0">
            <x v="1"/>
          </reference>
          <reference field="11" count="1" selected="0">
            <x v="2"/>
          </reference>
        </references>
      </pivotArea>
    </chartFormat>
    <chartFormat chart="12" format="19">
      <pivotArea type="data" outline="0" fieldPosition="0">
        <references count="2">
          <reference field="4294967294" count="1" selected="0">
            <x v="1"/>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DD79FD-2AC9-46BF-B189-A61366066CE7}"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5:C38" firstHeaderRow="0" firstDataRow="1" firstDataCol="1"/>
  <pivotFields count="16">
    <pivotField showAll="0"/>
    <pivotField showAll="0"/>
    <pivotField axis="axisRow" showAll="0">
      <items count="6">
        <item x="4"/>
        <item x="1"/>
        <item x="3"/>
        <item x="2"/>
        <item x="0"/>
        <item t="default"/>
      </items>
    </pivotField>
    <pivotField axis="axisRow" showAll="0">
      <items count="6">
        <item x="0"/>
        <item x="1"/>
        <item x="2"/>
        <item x="3"/>
        <item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items count="5">
        <item x="0"/>
        <item x="3"/>
        <item x="2"/>
        <item x="1"/>
        <item t="default"/>
      </items>
    </pivotField>
    <pivotField numFmtId="22" showAll="0"/>
    <pivotField showAll="0"/>
    <pivotField numFmtId="10" showAll="0"/>
    <pivotField axis="axisRow" showAll="0" defaultSubtotal="0">
      <items count="14">
        <item x="0"/>
        <item sd="0" x="1"/>
        <item sd="0" x="2"/>
        <item sd="0" x="3"/>
        <item sd="0" x="4"/>
        <item sd="0" x="5"/>
        <item sd="0" x="6"/>
        <item sd="0" x="7"/>
        <item sd="0" x="8"/>
        <item sd="0" x="9"/>
        <item sd="0" x="10"/>
        <item sd="0" x="11"/>
        <item sd="0" x="12"/>
        <item x="13"/>
      </items>
    </pivotField>
    <pivotField axis="axisRow" showAll="0" defaultSubtotal="0">
      <items count="6">
        <item x="0"/>
        <item x="1"/>
        <item x="2"/>
        <item x="3"/>
        <item x="4"/>
        <item x="5"/>
      </items>
    </pivotField>
    <pivotField axis="axisRow" showAll="0" defaultSubtotal="0">
      <items count="4">
        <item x="0"/>
        <item x="1"/>
        <item x="2"/>
        <item x="3"/>
      </items>
    </pivotField>
  </pivotFields>
  <rowFields count="5">
    <field x="13"/>
    <field x="14"/>
    <field x="15"/>
    <field x="3"/>
    <field x="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8" baseField="0" baseItem="0" numFmtId="2"/>
    <dataField name="Sum of Sales" fld="4" baseField="0" baseItem="0" numFmtId="2"/>
  </dataFields>
  <chartFormats count="2">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BD7602-9447-4F73-AC68-035826A1EEDC}"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showAll="0"/>
    <pivotField showAll="0">
      <items count="6">
        <item x="4"/>
        <item x="1"/>
        <item x="3"/>
        <item x="2"/>
        <item x="0"/>
        <item t="default"/>
      </items>
    </pivotField>
    <pivotField showAll="0">
      <items count="6">
        <item x="0"/>
        <item x="1"/>
        <item x="2"/>
        <item x="3"/>
        <item x="4"/>
        <item t="default"/>
      </items>
    </pivotField>
    <pivotField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axis="axisRow" showAll="0">
      <items count="5">
        <item x="0"/>
        <item x="3"/>
        <item x="2"/>
        <item x="1"/>
        <item t="default"/>
      </items>
    </pivotField>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9"/>
  </rowFields>
  <rowItems count="5">
    <i>
      <x/>
    </i>
    <i>
      <x v="1"/>
    </i>
    <i>
      <x v="2"/>
    </i>
    <i>
      <x v="3"/>
    </i>
    <i t="grand">
      <x/>
    </i>
  </rowItems>
  <colItems count="1">
    <i/>
  </colItems>
  <dataFields count="1">
    <dataField name="Sum of Profit"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59DF8-0A96-4542-B3D4-D35A0F2AABEA}"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6:G53" firstHeaderRow="1" firstDataRow="2" firstDataCol="1"/>
  <pivotFields count="16">
    <pivotField showAll="0"/>
    <pivotField showAll="0"/>
    <pivotField showAll="0">
      <items count="6">
        <item x="4"/>
        <item x="1"/>
        <item x="3"/>
        <item x="2"/>
        <item x="0"/>
        <item t="default"/>
      </items>
    </pivotField>
    <pivotField axis="axisCol" showAll="0">
      <items count="6">
        <item x="0"/>
        <item x="1"/>
        <item x="2"/>
        <item x="3"/>
        <item x="4"/>
        <item t="default"/>
      </items>
    </pivotField>
    <pivotField numFmtId="2" showAll="0"/>
    <pivotField showAll="0"/>
    <pivotField axis="axisRow" showAll="0">
      <items count="6">
        <item x="1"/>
        <item x="4"/>
        <item x="3"/>
        <item x="2"/>
        <item x="0"/>
        <item t="default"/>
      </items>
    </pivotField>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items count="5">
        <item x="0"/>
        <item x="3"/>
        <item x="2"/>
        <item x="1"/>
        <item t="default"/>
      </items>
    </pivotField>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6"/>
  </rowFields>
  <rowItems count="6">
    <i>
      <x/>
    </i>
    <i>
      <x v="1"/>
    </i>
    <i>
      <x v="2"/>
    </i>
    <i>
      <x v="3"/>
    </i>
    <i>
      <x v="4"/>
    </i>
    <i t="grand">
      <x/>
    </i>
  </rowItems>
  <colFields count="1">
    <field x="3"/>
  </colFields>
  <colItems count="6">
    <i>
      <x/>
    </i>
    <i>
      <x v="1"/>
    </i>
    <i>
      <x v="2"/>
    </i>
    <i>
      <x v="3"/>
    </i>
    <i>
      <x v="4"/>
    </i>
    <i t="grand">
      <x/>
    </i>
  </colItems>
  <dataFields count="1">
    <dataField name="Sum of Profit" fld="8" baseField="0" baseItem="0" numFmtId="2"/>
  </dataFields>
  <chartFormats count="2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5" series="1">
      <pivotArea type="data" outline="0" fieldPosition="0">
        <references count="2">
          <reference field="4294967294" count="1" selected="0">
            <x v="0"/>
          </reference>
          <reference field="3" count="1" selected="0">
            <x v="0"/>
          </reference>
        </references>
      </pivotArea>
    </chartFormat>
    <chartFormat chart="1" format="6" series="1">
      <pivotArea type="data" outline="0" fieldPosition="0">
        <references count="2">
          <reference field="4294967294" count="1" selected="0">
            <x v="0"/>
          </reference>
          <reference field="3" count="1" selected="0">
            <x v="1"/>
          </reference>
        </references>
      </pivotArea>
    </chartFormat>
    <chartFormat chart="1" format="7" series="1">
      <pivotArea type="data" outline="0" fieldPosition="0">
        <references count="2">
          <reference field="4294967294" count="1" selected="0">
            <x v="0"/>
          </reference>
          <reference field="3" count="1" selected="0">
            <x v="2"/>
          </reference>
        </references>
      </pivotArea>
    </chartFormat>
    <chartFormat chart="1" format="8" series="1">
      <pivotArea type="data" outline="0" fieldPosition="0">
        <references count="2">
          <reference field="4294967294" count="1" selected="0">
            <x v="0"/>
          </reference>
          <reference field="3" count="1" selected="0">
            <x v="3"/>
          </reference>
        </references>
      </pivotArea>
    </chartFormat>
    <chartFormat chart="1" format="9" series="1">
      <pivotArea type="data" outline="0" fieldPosition="0">
        <references count="2">
          <reference field="4294967294" count="1" selected="0">
            <x v="0"/>
          </reference>
          <reference field="3" count="1" selected="0">
            <x v="4"/>
          </reference>
        </references>
      </pivotArea>
    </chartFormat>
    <chartFormat chart="2" format="10" series="1">
      <pivotArea type="data" outline="0" fieldPosition="0">
        <references count="2">
          <reference field="4294967294" count="1" selected="0">
            <x v="0"/>
          </reference>
          <reference field="3" count="1" selected="0">
            <x v="0"/>
          </reference>
        </references>
      </pivotArea>
    </chartFormat>
    <chartFormat chart="2" format="11" series="1">
      <pivotArea type="data" outline="0" fieldPosition="0">
        <references count="2">
          <reference field="4294967294" count="1" selected="0">
            <x v="0"/>
          </reference>
          <reference field="3" count="1" selected="0">
            <x v="1"/>
          </reference>
        </references>
      </pivotArea>
    </chartFormat>
    <chartFormat chart="2" format="12" series="1">
      <pivotArea type="data" outline="0" fieldPosition="0">
        <references count="2">
          <reference field="4294967294" count="1" selected="0">
            <x v="0"/>
          </reference>
          <reference field="3" count="1" selected="0">
            <x v="2"/>
          </reference>
        </references>
      </pivotArea>
    </chartFormat>
    <chartFormat chart="2" format="13" series="1">
      <pivotArea type="data" outline="0" fieldPosition="0">
        <references count="2">
          <reference field="4294967294" count="1" selected="0">
            <x v="0"/>
          </reference>
          <reference field="3" count="1" selected="0">
            <x v="3"/>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 chart="22" format="15" series="1">
      <pivotArea type="data" outline="0" fieldPosition="0">
        <references count="2">
          <reference field="4294967294" count="1" selected="0">
            <x v="0"/>
          </reference>
          <reference field="3" count="1" selected="0">
            <x v="0"/>
          </reference>
        </references>
      </pivotArea>
    </chartFormat>
    <chartFormat chart="22" format="16" series="1">
      <pivotArea type="data" outline="0" fieldPosition="0">
        <references count="2">
          <reference field="4294967294" count="1" selected="0">
            <x v="0"/>
          </reference>
          <reference field="3" count="1" selected="0">
            <x v="1"/>
          </reference>
        </references>
      </pivotArea>
    </chartFormat>
    <chartFormat chart="22" format="17" series="1">
      <pivotArea type="data" outline="0" fieldPosition="0">
        <references count="2">
          <reference field="4294967294" count="1" selected="0">
            <x v="0"/>
          </reference>
          <reference field="3" count="1" selected="0">
            <x v="2"/>
          </reference>
        </references>
      </pivotArea>
    </chartFormat>
    <chartFormat chart="22" format="18" series="1">
      <pivotArea type="data" outline="0" fieldPosition="0">
        <references count="2">
          <reference field="4294967294" count="1" selected="0">
            <x v="0"/>
          </reference>
          <reference field="3" count="1" selected="0">
            <x v="3"/>
          </reference>
        </references>
      </pivotArea>
    </chartFormat>
    <chartFormat chart="22" format="1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24A254-7597-4A6A-986A-6A01CBE229A0}"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21" firstHeaderRow="0" firstDataRow="1" firstDataCol="1"/>
  <pivotFields count="16">
    <pivotField showAll="0"/>
    <pivotField axis="axisRow" showAll="0" measureFilter="1" sortType="descending">
      <items count="28">
        <item x="26"/>
        <item x="18"/>
        <item x="19"/>
        <item x="10"/>
        <item x="8"/>
        <item x="9"/>
        <item x="24"/>
        <item x="21"/>
        <item x="0"/>
        <item x="2"/>
        <item x="3"/>
        <item x="16"/>
        <item x="15"/>
        <item x="22"/>
        <item x="7"/>
        <item x="25"/>
        <item x="17"/>
        <item x="5"/>
        <item x="14"/>
        <item x="12"/>
        <item x="6"/>
        <item x="13"/>
        <item x="20"/>
        <item x="4"/>
        <item x="1"/>
        <item x="11"/>
        <item x="23"/>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items count="6">
        <item x="0"/>
        <item x="1"/>
        <item x="2"/>
        <item x="3"/>
        <item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items count="5">
        <item x="0"/>
        <item x="3"/>
        <item x="2"/>
        <item x="1"/>
        <item t="default"/>
      </items>
    </pivotField>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1"/>
  </rowFields>
  <rowItems count="18">
    <i>
      <x v="16"/>
    </i>
    <i>
      <x v="25"/>
    </i>
    <i>
      <x v="21"/>
    </i>
    <i>
      <x v="4"/>
    </i>
    <i>
      <x v="8"/>
    </i>
    <i>
      <x v="12"/>
    </i>
    <i>
      <x v="26"/>
    </i>
    <i>
      <x v="9"/>
    </i>
    <i>
      <x/>
    </i>
    <i>
      <x v="22"/>
    </i>
    <i>
      <x v="6"/>
    </i>
    <i>
      <x v="14"/>
    </i>
    <i>
      <x v="2"/>
    </i>
    <i>
      <x v="15"/>
    </i>
    <i>
      <x v="3"/>
    </i>
    <i>
      <x v="11"/>
    </i>
    <i>
      <x v="13"/>
    </i>
    <i t="grand">
      <x/>
    </i>
  </rowItems>
  <colFields count="1">
    <field x="-2"/>
  </colFields>
  <colItems count="2">
    <i>
      <x/>
    </i>
    <i i="1">
      <x v="1"/>
    </i>
  </colItems>
  <dataFields count="2">
    <dataField name="Sum of Sales" fld="4" baseField="0" baseItem="0" numFmtId="2"/>
    <dataField name="Sum of Profit" fld="8" baseField="0" baseItem="0" numFmtId="2"/>
  </dataFields>
  <pivotTableStyleInfo name="PivotStyleLight16" showRowHeaders="1" showColHeaders="1" showRowStripes="0" showColStripes="0" showLastColumn="1"/>
  <filters count="1">
    <filter fld="1" type="count" evalOrder="-1" id="2" iMeasureFld="0">
      <autoFilter ref="A1">
        <filterColumn colId="0">
          <top10 top="0" val="17" filterVal="1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511CED-721C-4F98-8E54-4A528E18FD56}" name="PivotTable2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73:C79" firstHeaderRow="0" firstDataRow="1" firstDataCol="1"/>
  <pivotFields count="4">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2">
    <i>
      <x/>
    </i>
    <i i="1">
      <x v="1"/>
    </i>
  </colItems>
  <dataFields count="2">
    <dataField name="Sum of Sales" fld="0" baseField="0" baseItem="0"/>
    <dataField name="Sum of Profit" fld="2" baseField="0" baseItem="0"/>
  </dataFields>
  <chartFormats count="5">
    <chartFormat chart="3"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1"/>
          </reference>
        </references>
      </pivotArea>
    </chartFormat>
    <chartFormat chart="16" format="5">
      <pivotArea type="data" outline="0" fieldPosition="0">
        <references count="2">
          <reference field="4294967294" count="1" selected="0">
            <x v="1"/>
          </reference>
          <reference field="1" count="1" selected="0">
            <x v="4"/>
          </reference>
        </references>
      </pivotArea>
    </chartFormat>
  </chartFormats>
  <pivotHierarchies count="21">
    <pivotHierarchy dragToData="1"/>
    <pivotHierarchy dragToData="1"/>
    <pivotHierarchy multipleItemSelectionAllowed="1" dragToData="1">
      <members count="1" level="1">
        <member name="[Table1].[Region].&amp;[Sou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06DC41-76E7-4976-92AF-28D1BD352498}" name="PivotTable18"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A59:C6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Sales" fld="2" baseField="0" baseItem="0"/>
    <dataField name="Sum of Profit" fld="1" baseField="0" baseItem="0"/>
  </dataFields>
  <chartFormats count="2">
    <chartFormat chart="16" format="6" series="1">
      <pivotArea type="data" outline="0" fieldPosition="0">
        <references count="1">
          <reference field="4294967294" count="1" selected="0">
            <x v="1"/>
          </reference>
        </references>
      </pivotArea>
    </chartFormat>
    <chartFormat chart="16" format="7"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members count="1" level="1">
        <member name="[Table1].[Region].&amp;[Sout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2.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A0FCA5-111C-4924-B9FE-F31431261A7D}"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14" firstHeaderRow="0" firstDataRow="1" firstDataCol="1"/>
  <pivotFields count="16">
    <pivotField showAll="0"/>
    <pivotField axis="axisRow" showAll="0" measureFilter="1" sortType="descending">
      <items count="28">
        <item x="26"/>
        <item x="18"/>
        <item x="19"/>
        <item x="10"/>
        <item x="8"/>
        <item x="9"/>
        <item x="24"/>
        <item x="21"/>
        <item x="0"/>
        <item x="2"/>
        <item x="3"/>
        <item x="16"/>
        <item x="15"/>
        <item x="22"/>
        <item x="7"/>
        <item x="25"/>
        <item x="17"/>
        <item x="5"/>
        <item x="14"/>
        <item x="12"/>
        <item x="6"/>
        <item x="13"/>
        <item x="20"/>
        <item x="4"/>
        <item x="1"/>
        <item x="11"/>
        <item x="23"/>
        <item t="default"/>
      </items>
      <autoSortScope>
        <pivotArea dataOnly="0" outline="0" fieldPosition="0">
          <references count="1">
            <reference field="4294967294" count="1" selected="0">
              <x v="0"/>
            </reference>
          </references>
        </pivotArea>
      </autoSortScope>
    </pivotField>
    <pivotField showAll="0">
      <items count="6">
        <item x="4"/>
        <item x="1"/>
        <item x="3"/>
        <item x="2"/>
        <item x="0"/>
        <item t="default"/>
      </items>
    </pivotField>
    <pivotField showAll="0">
      <items count="6">
        <item x="0"/>
        <item x="1"/>
        <item x="2"/>
        <item x="3"/>
        <item x="4"/>
        <item t="default"/>
      </items>
    </pivotField>
    <pivotField dataField="1" numFmtId="2" showAll="0"/>
    <pivotField showAll="0"/>
    <pivotField showAll="0"/>
    <pivotField numFmtId="14" showAll="0">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t="default"/>
      </items>
    </pivotField>
    <pivotField dataField="1" numFmtId="2" showAll="0"/>
    <pivotField showAll="0">
      <items count="5">
        <item x="0"/>
        <item x="3"/>
        <item x="2"/>
        <item x="1"/>
        <item t="default"/>
      </items>
    </pivotField>
    <pivotField numFmtId="22" showAll="0"/>
    <pivotField showAll="0"/>
    <pivotField numFmtId="10" showAll="0"/>
    <pivotField showAll="0" defaultSubtotal="0"/>
    <pivotField showAll="0" defaultSubtotal="0"/>
    <pivotField showAll="0" defaultSubtotal="0">
      <items count="4">
        <item x="0"/>
        <item x="1"/>
        <item x="2"/>
        <item x="3"/>
      </items>
    </pivotField>
  </pivotFields>
  <rowFields count="1">
    <field x="1"/>
  </rowFields>
  <rowItems count="11">
    <i>
      <x v="10"/>
    </i>
    <i>
      <x v="20"/>
    </i>
    <i>
      <x v="1"/>
    </i>
    <i>
      <x v="5"/>
    </i>
    <i>
      <x v="17"/>
    </i>
    <i>
      <x v="19"/>
    </i>
    <i>
      <x v="7"/>
    </i>
    <i>
      <x v="24"/>
    </i>
    <i>
      <x v="18"/>
    </i>
    <i>
      <x v="23"/>
    </i>
    <i t="grand">
      <x/>
    </i>
  </rowItems>
  <colFields count="1">
    <field x="-2"/>
  </colFields>
  <colItems count="2">
    <i>
      <x/>
    </i>
    <i i="1">
      <x v="1"/>
    </i>
  </colItems>
  <dataFields count="2">
    <dataField name="Sum of Sales" fld="4" baseField="0" baseItem="0" numFmtId="2"/>
    <dataField name="Sum of Profit" fld="8" baseField="0" baseItem="0" numFmtId="2"/>
  </dataField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1C1E67-F370-4E8F-B12B-0730C8D6935F}" sourceName="Region">
  <pivotTables>
    <pivotTable tabId="11" name="PivotTable16"/>
    <pivotTable tabId="11" name="PivotTable11"/>
    <pivotTable tabId="11" name="PivotTable12"/>
    <pivotTable tabId="11" name="PivotTable13"/>
    <pivotTable tabId="11" name="PivotTable14"/>
    <pivotTable tabId="11" name="PivotTable15"/>
  </pivotTables>
  <data>
    <tabular pivotCacheId="1885074302">
      <items count="5">
        <i x="4" s="1"/>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A32E2E20-2CDF-48A8-89C3-6F8F0942C5E2}" sourceName="Product_Category">
  <pivotTables>
    <pivotTable tabId="11" name="PivotTable16"/>
    <pivotTable tabId="11" name="PivotTable11"/>
    <pivotTable tabId="11" name="PivotTable12"/>
    <pivotTable tabId="11" name="PivotTable13"/>
    <pivotTable tabId="11" name="PivotTable14"/>
    <pivotTable tabId="11" name="PivotTable15"/>
  </pivotTables>
  <data>
    <tabular pivotCacheId="1885074302">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1F50D4E-5A1C-4BEE-9EC6-93319CFF04F9}" cache="Slicer_Region" caption="Region" rowHeight="273050"/>
  <slicer name="Product_Category" xr10:uid="{B2768300-240B-4892-BCBD-B075C9DDBE19}" cache="Slicer_Product_Category" caption="Product_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BD003A6-0A9E-4CB1-B5BB-0AA901E5EB01}" name="Table4" displayName="Table4" ref="M24:O26" totalsRowShown="0" headerRowDxfId="18">
  <autoFilter ref="M24:O26" xr:uid="{EBD003A6-0A9E-4CB1-B5BB-0AA901E5EB01}"/>
  <tableColumns count="3">
    <tableColumn id="1" xr3:uid="{2E05951D-78D7-41A0-8622-77B652FCB071}" name="Category"/>
    <tableColumn id="2" xr3:uid="{1EFFF40F-EF9A-45B4-9D8E-3680CB333C9A}" name="Total Sales">
      <calculatedColumnFormula>GETPIVOTDATA("Sum of Sales",$J$3)</calculatedColumnFormula>
    </tableColumn>
    <tableColumn id="3" xr3:uid="{FA4FF56E-66E1-46F4-AD88-EBA63E291198}" name="Profit">
      <calculatedColumnFormula>GETPIVOTDATA("Sum of Profit",$J$3)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F1955-D8C9-435D-8F25-B867FFB7CE33}" name="Table1" displayName="Table1" ref="A1:M201" totalsRowShown="0" headerRowDxfId="17" dataDxfId="15" headerRowBorderDxfId="16" tableBorderDxfId="14" totalsRowBorderDxfId="13">
  <autoFilter ref="A1:M201" xr:uid="{248F1955-D8C9-435D-8F25-B867FFB7CE33}"/>
  <tableColumns count="13">
    <tableColumn id="1" xr3:uid="{F2EE53D0-B230-4CA0-A976-2748E7DF82A9}" name="Customer_ID" dataDxfId="12"/>
    <tableColumn id="2" xr3:uid="{760C90DB-9012-46D3-ADB3-09EBD252A4E6}" name="Customer_Name" dataDxfId="11"/>
    <tableColumn id="3" xr3:uid="{BED05CFD-ADF5-4B39-A17A-A4683CD4C325}" name="Region" dataDxfId="10"/>
    <tableColumn id="4" xr3:uid="{9067C834-82F3-4F51-9557-742ECD526136}" name="Product_Category" dataDxfId="9"/>
    <tableColumn id="5" xr3:uid="{7B553A52-A890-4218-BAC9-3B5B9B0F95F6}" name="Sales" dataDxfId="8"/>
    <tableColumn id="6" xr3:uid="{4118FF07-1B33-428E-9225-896D1768C014}" name="Quantity" dataDxfId="7"/>
    <tableColumn id="7" xr3:uid="{3361FB3D-7A2F-4D91-844F-3C36D2F380A3}" name="Discount" dataDxfId="6"/>
    <tableColumn id="8" xr3:uid="{8C1F1E30-557E-49D1-8A09-C013DD8AE141}" name="Order_Date" dataDxfId="5"/>
    <tableColumn id="9" xr3:uid="{772A509F-B683-47C0-9E24-C3BD06DE70C0}" name="Profit" dataDxfId="4"/>
    <tableColumn id="10" xr3:uid="{5F43CCD8-D6D8-43FF-8149-D1C502780CD9}" name="D_Type" dataDxfId="3">
      <calculatedColumnFormula>_xlfn.IFS(G2=0,"No Discount", G2&lt;=0.1,"Low Discount",G2&lt;=0.15,"Medium Discount",G2&gt;0.15,"High Discount")</calculatedColumnFormula>
    </tableColumn>
    <tableColumn id="11" xr3:uid="{3259DF57-75DB-4A73-8028-5593187A701F}" name="Timestamp" dataDxfId="2">
      <calculatedColumnFormula>NOW()</calculatedColumnFormula>
    </tableColumn>
    <tableColumn id="12" xr3:uid="{347C493E-7664-4D94-9ECA-40B4BD6FD210}" name="High_Sales" dataDxfId="1">
      <calculatedColumnFormula>IF(Table1[Sales]&gt;1000,"High purchase","Normal purchase")</calculatedColumnFormula>
    </tableColumn>
    <tableColumn id="13" xr3:uid="{F67F708B-0B9C-4A68-9FE6-CE2336AE50EC}" name="Profit Margin" dataDxfId="0">
      <calculatedColumnFormula>Table1[[#This Row],[Profit]]/Table1[[#This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Dividend">
  <a:themeElements>
    <a:clrScheme name="Dividend">
      <a:dk1>
        <a:sysClr val="windowText" lastClr="000000"/>
      </a:dk1>
      <a:lt1>
        <a:sysClr val="window" lastClr="FFFFFF"/>
      </a:lt1>
      <a:dk2>
        <a:srgbClr val="3D3D3D"/>
      </a:dk2>
      <a:lt2>
        <a:srgbClr val="EBEBEB"/>
      </a:lt2>
      <a:accent1>
        <a:srgbClr val="4D1434"/>
      </a:accent1>
      <a:accent2>
        <a:srgbClr val="903163"/>
      </a:accent2>
      <a:accent3>
        <a:srgbClr val="B2324B"/>
      </a:accent3>
      <a:accent4>
        <a:srgbClr val="969FA7"/>
      </a:accent4>
      <a:accent5>
        <a:srgbClr val="66B1CE"/>
      </a:accent5>
      <a:accent6>
        <a:srgbClr val="40619D"/>
      </a:accent6>
      <a:hlink>
        <a:srgbClr val="828282"/>
      </a:hlink>
      <a:folHlink>
        <a:srgbClr val="A5A5A5"/>
      </a:folHlink>
    </a:clrScheme>
    <a:fontScheme name="Dividend">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Dividend">
      <a:fillStyleLst>
        <a:solidFill>
          <a:schemeClr val="phClr"/>
        </a:solidFill>
        <a:gradFill rotWithShape="1">
          <a:gsLst>
            <a:gs pos="0">
              <a:schemeClr val="phClr">
                <a:tint val="68000"/>
                <a:alpha val="90000"/>
                <a:lumMod val="100000"/>
              </a:schemeClr>
            </a:gs>
            <a:gs pos="100000">
              <a:schemeClr val="phClr">
                <a:tint val="90000"/>
                <a:lumMod val="95000"/>
              </a:schemeClr>
            </a:gs>
          </a:gsLst>
          <a:lin ang="5400000" scaled="1"/>
        </a:gradFill>
        <a:gradFill rotWithShape="1">
          <a:gsLst>
            <a:gs pos="0">
              <a:schemeClr val="phClr">
                <a:tint val="98000"/>
                <a:lumMod val="110000"/>
              </a:schemeClr>
            </a:gs>
            <a:gs pos="84000">
              <a:schemeClr val="phClr">
                <a:shade val="90000"/>
                <a:lumMod val="88000"/>
              </a:schemeClr>
            </a:gs>
          </a:gsLst>
          <a:lin ang="5400000" scaled="0"/>
        </a:gradFill>
      </a:fillStyleLst>
      <a:lnStyleLst>
        <a:ln w="12700" cap="rnd" cmpd="sng" algn="ctr">
          <a:solidFill>
            <a:schemeClr val="phClr">
              <a:lumMod val="90000"/>
            </a:schemeClr>
          </a:solidFill>
          <a:prstDash val="solid"/>
        </a:ln>
        <a:ln w="22225"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55000"/>
              </a:srgbClr>
            </a:outerShdw>
          </a:effectLst>
        </a:effectStyle>
        <a:effectStyle>
          <a:effectLst>
            <a:outerShdw blurRad="88900" dist="38100" dir="5040000" rotWithShape="0">
              <a:srgbClr val="000000">
                <a:alpha val="60000"/>
              </a:srgbClr>
            </a:outerShdw>
          </a:effectLst>
          <a:scene3d>
            <a:camera prst="orthographicFront">
              <a:rot lat="0" lon="0" rev="0"/>
            </a:camera>
            <a:lightRig rig="threePt" dir="tl">
              <a:rot lat="0" lon="0" rev="1200000"/>
            </a:lightRig>
          </a:scene3d>
          <a:sp3d>
            <a:bevelT w="38100" h="50800"/>
          </a:sp3d>
        </a:effectStyle>
      </a:effectStyleLst>
      <a:bgFillStyleLst>
        <a:solidFill>
          <a:schemeClr val="phClr"/>
        </a:solidFill>
        <a:gradFill rotWithShape="1">
          <a:gsLst>
            <a:gs pos="0">
              <a:schemeClr val="phClr">
                <a:tint val="90000"/>
                <a:lumMod val="110000"/>
              </a:schemeClr>
            </a:gs>
            <a:gs pos="88000">
              <a:schemeClr val="phClr">
                <a:shade val="94000"/>
                <a:satMod val="110000"/>
                <a:lumMod val="88000"/>
              </a:schemeClr>
            </a:gs>
          </a:gsLst>
          <a:lin ang="5400000" scaled="0"/>
        </a:gradFill>
        <a:gradFill rotWithShape="1">
          <a:gsLst>
            <a:gs pos="0">
              <a:schemeClr val="phClr">
                <a:tint val="90000"/>
                <a:lumMod val="110000"/>
              </a:schemeClr>
            </a:gs>
            <a:gs pos="100000">
              <a:schemeClr val="phClr">
                <a:shade val="98000"/>
                <a:satMod val="110000"/>
                <a:lumMod val="8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Dividend" id="{9697A71B-4AB7-4A1A-BD5B-BB2D22835B57}" vid="{C21699FF-00E4-43C8-BBCC-D7E5536C3717}"/>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44A21A5-E29C-41A4-AFF2-DF4D000F4C03}" sourceName="Order_Date">
  <pivotTables>
    <pivotTable tabId="11" name="PivotTable19"/>
  </pivotTables>
  <state minimalRefreshVersion="6" lastRefreshVersion="6" pivotCacheId="1071907549"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606ADFA6-400A-4ABD-B6C4-13C66CD26FCA}" cache="NativeTimeline_Order_Date" caption="Order_Date" level="1" selectionLevel="1"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3D82B-8F0D-44F8-B582-83B7D8517868}">
  <sheetPr>
    <outlinePr summaryBelow="0"/>
  </sheetPr>
  <dimension ref="B1:G13"/>
  <sheetViews>
    <sheetView showGridLines="0" workbookViewId="0">
      <selection activeCell="F18" sqref="F18"/>
    </sheetView>
  </sheetViews>
  <sheetFormatPr defaultRowHeight="18" outlineLevelRow="1" outlineLevelCol="1" x14ac:dyDescent="0.5"/>
  <cols>
    <col min="3" max="3" width="20.44140625" customWidth="1"/>
    <col min="4" max="7" width="13.109375" customWidth="1" outlineLevel="1"/>
  </cols>
  <sheetData>
    <row r="1" spans="2:7" ht="18.600000000000001" thickBot="1" x14ac:dyDescent="0.55000000000000004"/>
    <row r="2" spans="2:7" ht="19.2" x14ac:dyDescent="0.5">
      <c r="B2" s="19" t="s">
        <v>85</v>
      </c>
      <c r="C2" s="19"/>
      <c r="D2" s="23"/>
      <c r="E2" s="23"/>
      <c r="F2" s="23"/>
      <c r="G2" s="23"/>
    </row>
    <row r="3" spans="2:7" ht="19.2" collapsed="1" x14ac:dyDescent="0.5">
      <c r="B3" s="18"/>
      <c r="C3" s="18"/>
      <c r="D3" s="24" t="s">
        <v>87</v>
      </c>
      <c r="E3" s="24" t="s">
        <v>91</v>
      </c>
      <c r="F3" s="24" t="s">
        <v>92</v>
      </c>
      <c r="G3" s="24" t="s">
        <v>93</v>
      </c>
    </row>
    <row r="4" spans="2:7" hidden="1" outlineLevel="1" x14ac:dyDescent="0.5">
      <c r="B4" s="21"/>
      <c r="C4" s="21"/>
      <c r="E4" s="28">
        <v>1</v>
      </c>
      <c r="F4" s="28">
        <v>2</v>
      </c>
      <c r="G4" s="28">
        <v>3</v>
      </c>
    </row>
    <row r="5" spans="2:7" x14ac:dyDescent="0.5">
      <c r="B5" s="22" t="s">
        <v>86</v>
      </c>
      <c r="C5" s="22"/>
      <c r="D5" s="20"/>
      <c r="E5" s="20"/>
      <c r="F5" s="20"/>
      <c r="G5" s="20"/>
    </row>
    <row r="6" spans="2:7" outlineLevel="1" x14ac:dyDescent="0.5">
      <c r="B6" s="21"/>
      <c r="C6" s="21" t="s">
        <v>94</v>
      </c>
      <c r="D6">
        <v>13253.9</v>
      </c>
      <c r="E6" s="27">
        <v>13916.594999999999</v>
      </c>
      <c r="F6" s="27">
        <v>15241.985000000001</v>
      </c>
      <c r="G6" s="27">
        <v>17230.07</v>
      </c>
    </row>
    <row r="7" spans="2:7" outlineLevel="1" x14ac:dyDescent="0.5">
      <c r="B7" s="21"/>
      <c r="C7" s="21" t="s">
        <v>82</v>
      </c>
      <c r="D7">
        <v>29851.040000000001</v>
      </c>
      <c r="E7" s="27">
        <v>31343.592000000001</v>
      </c>
      <c r="F7" s="27">
        <v>34328.696000000004</v>
      </c>
      <c r="G7" s="27">
        <v>38806.351999999999</v>
      </c>
    </row>
    <row r="8" spans="2:7" outlineLevel="1" x14ac:dyDescent="0.5">
      <c r="B8" s="21"/>
      <c r="C8" s="21" t="s">
        <v>83</v>
      </c>
      <c r="D8">
        <v>9571.4</v>
      </c>
      <c r="E8" s="27">
        <v>10049.969999999999</v>
      </c>
      <c r="F8" s="27">
        <v>11007.11</v>
      </c>
      <c r="G8" s="27">
        <v>12442.82</v>
      </c>
    </row>
    <row r="9" spans="2:7" outlineLevel="1" x14ac:dyDescent="0.5">
      <c r="B9" s="21"/>
      <c r="C9" s="21" t="s">
        <v>84</v>
      </c>
      <c r="D9">
        <v>15610.67</v>
      </c>
      <c r="E9" s="27">
        <v>16391.2035</v>
      </c>
      <c r="F9" s="27">
        <v>17952.270499999999</v>
      </c>
      <c r="G9" s="27">
        <v>20293.870999999999</v>
      </c>
    </row>
    <row r="10" spans="2:7" ht="18.600000000000001" thickBot="1" x14ac:dyDescent="0.55000000000000004">
      <c r="B10" s="25"/>
      <c r="C10" s="25" t="s">
        <v>95</v>
      </c>
      <c r="D10" s="26">
        <f>SUM(D6:D9)</f>
        <v>68287.010000000009</v>
      </c>
      <c r="E10" s="26">
        <f>SUM(E6:E9)</f>
        <v>71701.360499999995</v>
      </c>
      <c r="F10" s="26">
        <f>SUM(F6:F9)</f>
        <v>78530.061500000011</v>
      </c>
      <c r="G10" s="26">
        <f>SUM(G6:G9)</f>
        <v>88773.112999999998</v>
      </c>
    </row>
    <row r="11" spans="2:7" x14ac:dyDescent="0.5">
      <c r="B11" t="s">
        <v>88</v>
      </c>
    </row>
    <row r="12" spans="2:7" x14ac:dyDescent="0.5">
      <c r="B12" t="s">
        <v>89</v>
      </c>
    </row>
    <row r="13" spans="2:7" x14ac:dyDescent="0.5">
      <c r="B13" t="s">
        <v>90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926A8-B778-415E-BB2C-F321830A3A78}">
  <dimension ref="A1:I18"/>
  <sheetViews>
    <sheetView workbookViewId="0">
      <selection activeCell="L12" sqref="L12"/>
    </sheetView>
  </sheetViews>
  <sheetFormatPr defaultRowHeight="18" x14ac:dyDescent="0.5"/>
  <cols>
    <col min="1" max="1" width="17.44140625" customWidth="1"/>
    <col min="2" max="2" width="12.6640625" customWidth="1"/>
    <col min="3" max="3" width="13.44140625" customWidth="1"/>
    <col min="4" max="4" width="12.6640625" customWidth="1"/>
    <col min="5" max="5" width="12" customWidth="1"/>
    <col min="6" max="6" width="12.6640625" customWidth="1"/>
    <col min="7" max="7" width="12" customWidth="1"/>
    <col min="8" max="8" width="12.6640625" customWidth="1"/>
    <col min="9" max="9" width="12.109375" customWidth="1"/>
  </cols>
  <sheetData>
    <row r="1" spans="1:9" x14ac:dyDescent="0.5">
      <c r="A1" t="s">
        <v>96</v>
      </c>
    </row>
    <row r="2" spans="1:9" ht="18.600000000000001" thickBot="1" x14ac:dyDescent="0.55000000000000004"/>
    <row r="3" spans="1:9" x14ac:dyDescent="0.5">
      <c r="A3" s="38" t="s">
        <v>97</v>
      </c>
      <c r="B3" s="38"/>
    </row>
    <row r="4" spans="1:9" x14ac:dyDescent="0.5">
      <c r="A4" t="s">
        <v>98</v>
      </c>
      <c r="B4">
        <v>0.77356566420146511</v>
      </c>
    </row>
    <row r="5" spans="1:9" x14ac:dyDescent="0.5">
      <c r="A5" t="s">
        <v>99</v>
      </c>
      <c r="B5">
        <v>0.59840383683145382</v>
      </c>
    </row>
    <row r="6" spans="1:9" x14ac:dyDescent="0.5">
      <c r="A6" t="s">
        <v>100</v>
      </c>
      <c r="B6">
        <v>0.59636527762755254</v>
      </c>
    </row>
    <row r="7" spans="1:9" x14ac:dyDescent="0.5">
      <c r="A7" t="s">
        <v>101</v>
      </c>
      <c r="B7">
        <v>86.471707018508098</v>
      </c>
    </row>
    <row r="8" spans="1:9" ht="18.600000000000001" thickBot="1" x14ac:dyDescent="0.55000000000000004">
      <c r="A8" s="36" t="s">
        <v>102</v>
      </c>
      <c r="B8" s="36">
        <v>199</v>
      </c>
    </row>
    <row r="10" spans="1:9" ht="18.600000000000001" thickBot="1" x14ac:dyDescent="0.55000000000000004">
      <c r="A10" t="s">
        <v>103</v>
      </c>
    </row>
    <row r="11" spans="1:9" x14ac:dyDescent="0.5">
      <c r="A11" s="37"/>
      <c r="B11" s="37" t="s">
        <v>107</v>
      </c>
      <c r="C11" s="37" t="s">
        <v>108</v>
      </c>
      <c r="D11" s="37" t="s">
        <v>109</v>
      </c>
      <c r="E11" s="37" t="s">
        <v>110</v>
      </c>
      <c r="F11" s="37" t="s">
        <v>111</v>
      </c>
    </row>
    <row r="12" spans="1:9" x14ac:dyDescent="0.5">
      <c r="A12" t="s">
        <v>104</v>
      </c>
      <c r="B12">
        <v>1</v>
      </c>
      <c r="C12">
        <v>2194922.0703649437</v>
      </c>
      <c r="D12">
        <v>2194922.0703649437</v>
      </c>
      <c r="E12">
        <v>293.54253518184368</v>
      </c>
      <c r="F12">
        <v>6.8782375878390769E-41</v>
      </c>
    </row>
    <row r="13" spans="1:9" x14ac:dyDescent="0.5">
      <c r="A13" t="s">
        <v>105</v>
      </c>
      <c r="B13">
        <v>197</v>
      </c>
      <c r="C13">
        <v>1473039.1545948565</v>
      </c>
      <c r="D13">
        <v>7477.3561146947031</v>
      </c>
    </row>
    <row r="14" spans="1:9" ht="18.600000000000001" thickBot="1" x14ac:dyDescent="0.55000000000000004">
      <c r="A14" s="36" t="s">
        <v>95</v>
      </c>
      <c r="B14" s="36">
        <v>198</v>
      </c>
      <c r="C14" s="36">
        <v>3667961.2249598</v>
      </c>
      <c r="D14" s="36"/>
      <c r="E14" s="36"/>
      <c r="F14" s="36"/>
    </row>
    <row r="15" spans="1:9" ht="18.600000000000001" thickBot="1" x14ac:dyDescent="0.55000000000000004"/>
    <row r="16" spans="1:9" x14ac:dyDescent="0.5">
      <c r="A16" s="37"/>
      <c r="B16" s="37" t="s">
        <v>112</v>
      </c>
      <c r="C16" s="37" t="s">
        <v>101</v>
      </c>
      <c r="D16" s="37" t="s">
        <v>113</v>
      </c>
      <c r="E16" s="37" t="s">
        <v>114</v>
      </c>
      <c r="F16" s="37" t="s">
        <v>115</v>
      </c>
      <c r="G16" s="37" t="s">
        <v>116</v>
      </c>
      <c r="H16" s="37" t="s">
        <v>117</v>
      </c>
      <c r="I16" s="37" t="s">
        <v>118</v>
      </c>
    </row>
    <row r="17" spans="1:9" x14ac:dyDescent="0.5">
      <c r="A17" t="s">
        <v>106</v>
      </c>
      <c r="B17">
        <v>-0.97824544662927337</v>
      </c>
      <c r="C17">
        <v>20.907197536053534</v>
      </c>
      <c r="D17">
        <v>-4.6789888742493228E-2</v>
      </c>
      <c r="E17">
        <v>0.96272808608450733</v>
      </c>
      <c r="F17">
        <v>-42.208891362546005</v>
      </c>
      <c r="G17">
        <v>40.252400469287458</v>
      </c>
      <c r="H17">
        <v>-42.208891362546005</v>
      </c>
      <c r="I17">
        <v>40.252400469287458</v>
      </c>
    </row>
    <row r="18" spans="1:9" ht="18.600000000000001" thickBot="1" x14ac:dyDescent="0.55000000000000004">
      <c r="A18" s="36">
        <v>1036.0899999999999</v>
      </c>
      <c r="B18" s="36">
        <v>0.35096067947030868</v>
      </c>
      <c r="C18" s="36">
        <v>2.0484385572447462E-2</v>
      </c>
      <c r="D18" s="36">
        <v>17.133083061196064</v>
      </c>
      <c r="E18" s="36">
        <v>6.8782375878393705E-41</v>
      </c>
      <c r="F18" s="36">
        <v>0.31056385216305021</v>
      </c>
      <c r="G18" s="36">
        <v>0.39135750677756714</v>
      </c>
      <c r="H18" s="36">
        <v>0.31056385216305021</v>
      </c>
      <c r="I18" s="36">
        <v>0.39135750677756714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DF73D-B8CC-4140-BF96-31C1C3D0083D}">
  <dimension ref="A1:B15"/>
  <sheetViews>
    <sheetView workbookViewId="0">
      <selection activeCell="F28" sqref="F28"/>
    </sheetView>
  </sheetViews>
  <sheetFormatPr defaultRowHeight="18" x14ac:dyDescent="0.5"/>
  <cols>
    <col min="1" max="1" width="16.5546875" customWidth="1"/>
    <col min="2" max="2" width="18.109375" customWidth="1"/>
  </cols>
  <sheetData>
    <row r="1" spans="1:2" x14ac:dyDescent="0.5">
      <c r="A1" s="50" t="s">
        <v>131</v>
      </c>
      <c r="B1" s="51"/>
    </row>
    <row r="3" spans="1:2" x14ac:dyDescent="0.5">
      <c r="A3" t="s">
        <v>119</v>
      </c>
      <c r="B3">
        <v>341.43505000000005</v>
      </c>
    </row>
    <row r="4" spans="1:2" x14ac:dyDescent="0.5">
      <c r="A4" t="s">
        <v>101</v>
      </c>
      <c r="B4">
        <v>9.6001196472332531</v>
      </c>
    </row>
    <row r="5" spans="1:2" x14ac:dyDescent="0.5">
      <c r="A5" t="s">
        <v>120</v>
      </c>
      <c r="B5">
        <v>332.255</v>
      </c>
    </row>
    <row r="6" spans="1:2" x14ac:dyDescent="0.5">
      <c r="A6" t="s">
        <v>121</v>
      </c>
      <c r="B6" t="e">
        <v>#N/A</v>
      </c>
    </row>
    <row r="7" spans="1:2" x14ac:dyDescent="0.5">
      <c r="A7" t="s">
        <v>122</v>
      </c>
      <c r="B7">
        <v>135.7661940552168</v>
      </c>
    </row>
    <row r="8" spans="1:2" x14ac:dyDescent="0.5">
      <c r="A8" t="s">
        <v>123</v>
      </c>
      <c r="B8">
        <v>18432.459448238787</v>
      </c>
    </row>
    <row r="9" spans="1:2" x14ac:dyDescent="0.5">
      <c r="A9" t="s">
        <v>124</v>
      </c>
      <c r="B9">
        <v>0.26450643813582442</v>
      </c>
    </row>
    <row r="10" spans="1:2" x14ac:dyDescent="0.5">
      <c r="A10" t="s">
        <v>125</v>
      </c>
      <c r="B10">
        <v>0.57339636063424715</v>
      </c>
    </row>
    <row r="11" spans="1:2" x14ac:dyDescent="0.5">
      <c r="A11" t="s">
        <v>126</v>
      </c>
      <c r="B11">
        <v>704.83</v>
      </c>
    </row>
    <row r="12" spans="1:2" x14ac:dyDescent="0.5">
      <c r="A12" t="s">
        <v>127</v>
      </c>
      <c r="B12">
        <v>64.63</v>
      </c>
    </row>
    <row r="13" spans="1:2" x14ac:dyDescent="0.5">
      <c r="A13" t="s">
        <v>128</v>
      </c>
      <c r="B13">
        <v>769.46</v>
      </c>
    </row>
    <row r="14" spans="1:2" x14ac:dyDescent="0.5">
      <c r="A14" t="s">
        <v>129</v>
      </c>
      <c r="B14">
        <v>68287.010000000009</v>
      </c>
    </row>
    <row r="15" spans="1:2" ht="18.600000000000001" thickBot="1" x14ac:dyDescent="0.55000000000000004">
      <c r="A15" s="36" t="s">
        <v>130</v>
      </c>
      <c r="B15" s="36">
        <v>200</v>
      </c>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03E37-94C8-4DE4-8E9A-1170F2D98C8C}">
  <dimension ref="D10:AE16"/>
  <sheetViews>
    <sheetView topLeftCell="B14" zoomScale="70" zoomScaleNormal="70" workbookViewId="0">
      <selection activeCell="Q20" sqref="Q20"/>
    </sheetView>
  </sheetViews>
  <sheetFormatPr defaultRowHeight="18" x14ac:dyDescent="0.5"/>
  <cols>
    <col min="1" max="1" width="12.5546875" style="46" customWidth="1"/>
    <col min="2" max="2" width="11.6640625" style="46" customWidth="1"/>
    <col min="3" max="3" width="8.88671875" style="46" customWidth="1"/>
    <col min="4" max="16384" width="8.88671875" style="46"/>
  </cols>
  <sheetData>
    <row r="10" spans="4:31" x14ac:dyDescent="0.5">
      <c r="D10" s="57" t="s">
        <v>166</v>
      </c>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row>
    <row r="11" spans="4:31" x14ac:dyDescent="0.5">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6"/>
      <c r="AD11" s="56"/>
      <c r="AE11" s="56"/>
    </row>
    <row r="12" spans="4:31" x14ac:dyDescent="0.5">
      <c r="D12" s="56"/>
      <c r="E12" s="56"/>
      <c r="F12" s="56"/>
      <c r="G12" s="56"/>
      <c r="H12" s="56"/>
      <c r="I12" s="56"/>
      <c r="J12" s="56"/>
      <c r="K12" s="56"/>
      <c r="L12" s="56"/>
      <c r="M12" s="56"/>
      <c r="N12" s="56"/>
      <c r="O12" s="56"/>
      <c r="P12" s="56"/>
      <c r="Q12" s="56"/>
      <c r="R12" s="56"/>
      <c r="S12" s="56"/>
      <c r="T12" s="56"/>
      <c r="U12" s="56"/>
      <c r="V12" s="56"/>
      <c r="W12" s="56"/>
      <c r="X12" s="56"/>
      <c r="Y12" s="56"/>
      <c r="Z12" s="56"/>
      <c r="AA12" s="56"/>
      <c r="AB12" s="56"/>
      <c r="AC12" s="56"/>
      <c r="AD12" s="56"/>
      <c r="AE12" s="56"/>
    </row>
    <row r="13" spans="4:31" x14ac:dyDescent="0.5">
      <c r="D13" s="56"/>
      <c r="E13" s="56"/>
      <c r="F13" s="56"/>
      <c r="G13" s="56"/>
      <c r="H13" s="56"/>
      <c r="I13" s="56"/>
      <c r="J13" s="56"/>
      <c r="K13" s="56"/>
      <c r="L13" s="56"/>
      <c r="M13" s="56"/>
      <c r="N13" s="56"/>
      <c r="O13" s="56"/>
      <c r="P13" s="56"/>
      <c r="Q13" s="56"/>
      <c r="R13" s="56"/>
      <c r="S13" s="56"/>
      <c r="T13" s="56"/>
      <c r="U13" s="56"/>
      <c r="V13" s="56"/>
      <c r="W13" s="56"/>
      <c r="X13" s="56"/>
      <c r="Y13" s="56"/>
      <c r="Z13" s="56"/>
      <c r="AA13" s="56"/>
      <c r="AB13" s="56"/>
      <c r="AC13" s="56"/>
      <c r="AD13" s="56"/>
      <c r="AE13" s="56"/>
    </row>
    <row r="14" spans="4:31" x14ac:dyDescent="0.5">
      <c r="D14" s="56"/>
      <c r="E14" s="56"/>
      <c r="F14" s="56"/>
      <c r="G14" s="56"/>
      <c r="H14" s="56"/>
      <c r="I14" s="56"/>
      <c r="J14" s="56"/>
      <c r="K14" s="56"/>
      <c r="L14" s="56"/>
      <c r="M14" s="56"/>
      <c r="N14" s="56"/>
      <c r="O14" s="56"/>
      <c r="P14" s="56"/>
      <c r="Q14" s="56"/>
      <c r="R14" s="56"/>
      <c r="S14" s="56"/>
      <c r="T14" s="56"/>
      <c r="U14" s="56"/>
      <c r="V14" s="56"/>
      <c r="W14" s="56"/>
      <c r="X14" s="56"/>
      <c r="Y14" s="56"/>
      <c r="Z14" s="56"/>
      <c r="AA14" s="56"/>
      <c r="AB14" s="56"/>
      <c r="AC14" s="56"/>
      <c r="AD14" s="56"/>
      <c r="AE14" s="56"/>
    </row>
    <row r="15" spans="4:31" x14ac:dyDescent="0.5">
      <c r="D15" s="56"/>
      <c r="E15" s="56"/>
      <c r="F15" s="56"/>
      <c r="G15" s="56"/>
      <c r="H15" s="56"/>
      <c r="I15" s="56"/>
      <c r="J15" s="56"/>
      <c r="K15" s="56"/>
      <c r="L15" s="56"/>
      <c r="M15" s="56"/>
      <c r="N15" s="56"/>
      <c r="O15" s="56"/>
      <c r="P15" s="56"/>
      <c r="Q15" s="56"/>
      <c r="R15" s="56"/>
      <c r="S15" s="56"/>
      <c r="T15" s="56"/>
      <c r="U15" s="56"/>
      <c r="V15" s="56"/>
      <c r="W15" s="56"/>
      <c r="X15" s="56"/>
      <c r="Y15" s="56"/>
      <c r="Z15" s="56"/>
      <c r="AA15" s="56"/>
      <c r="AB15" s="56"/>
      <c r="AC15" s="56"/>
      <c r="AD15" s="56"/>
      <c r="AE15" s="56"/>
    </row>
    <row r="16" spans="4:31" x14ac:dyDescent="0.5">
      <c r="D16" s="56"/>
      <c r="E16" s="56"/>
      <c r="F16" s="56"/>
      <c r="G16" s="56"/>
      <c r="H16" s="56"/>
      <c r="I16" s="56"/>
      <c r="J16" s="56"/>
      <c r="K16" s="56"/>
      <c r="L16" s="56"/>
      <c r="M16" s="56"/>
      <c r="N16" s="56"/>
      <c r="O16" s="56"/>
      <c r="P16" s="56"/>
      <c r="Q16" s="56"/>
      <c r="R16" s="56"/>
      <c r="S16" s="56"/>
      <c r="T16" s="56"/>
      <c r="U16" s="56"/>
      <c r="V16" s="56"/>
      <c r="W16" s="56"/>
      <c r="X16" s="56"/>
      <c r="Y16" s="56"/>
      <c r="Z16" s="56"/>
      <c r="AA16" s="56"/>
      <c r="AB16" s="56"/>
      <c r="AC16" s="56"/>
      <c r="AD16" s="56"/>
      <c r="AE16" s="56"/>
    </row>
  </sheetData>
  <mergeCells count="1">
    <mergeCell ref="D10:AE1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F7598-A19B-4EBC-A0FB-5993203449B2}">
  <dimension ref="A2:O79"/>
  <sheetViews>
    <sheetView topLeftCell="B10" workbookViewId="0">
      <selection activeCell="M25" sqref="M25"/>
    </sheetView>
  </sheetViews>
  <sheetFormatPr defaultRowHeight="14.4" x14ac:dyDescent="0.5"/>
  <cols>
    <col min="1" max="1" width="14" bestFit="1" customWidth="1"/>
    <col min="2" max="2" width="13.6640625" bestFit="1" customWidth="1"/>
    <col min="3" max="3" width="13.21875" bestFit="1" customWidth="1"/>
    <col min="4" max="4" width="11.44140625" bestFit="1" customWidth="1"/>
    <col min="5" max="5" width="15.88671875" bestFit="1" customWidth="1"/>
    <col min="6" max="6" width="13.21875" bestFit="1" customWidth="1"/>
    <col min="7" max="7" width="14" bestFit="1" customWidth="1"/>
    <col min="8" max="8" width="13.6640625" bestFit="1" customWidth="1"/>
    <col min="9" max="9" width="14" bestFit="1" customWidth="1"/>
    <col min="10" max="10" width="24.6640625" bestFit="1" customWidth="1"/>
    <col min="11" max="11" width="13.21875" bestFit="1" customWidth="1"/>
    <col min="12" max="12" width="13.6640625" bestFit="1" customWidth="1"/>
    <col min="13" max="13" width="20" customWidth="1"/>
    <col min="14" max="14" width="11.77734375" customWidth="1"/>
    <col min="15" max="15" width="15" customWidth="1"/>
  </cols>
  <sheetData>
    <row r="2" spans="1:12" ht="18" x14ac:dyDescent="0.5">
      <c r="A2" s="52" t="s">
        <v>85</v>
      </c>
      <c r="B2" s="53"/>
      <c r="E2" s="52" t="s">
        <v>132</v>
      </c>
      <c r="F2" s="53"/>
      <c r="J2" s="52" t="s">
        <v>160</v>
      </c>
      <c r="K2" s="52"/>
    </row>
    <row r="3" spans="1:12" ht="18" x14ac:dyDescent="0.5">
      <c r="A3" s="11" t="s">
        <v>76</v>
      </c>
      <c r="B3" t="s">
        <v>80</v>
      </c>
      <c r="E3" s="11" t="s">
        <v>76</v>
      </c>
      <c r="F3" t="s">
        <v>78</v>
      </c>
      <c r="G3" t="s">
        <v>80</v>
      </c>
      <c r="J3" s="11" t="s">
        <v>76</v>
      </c>
      <c r="K3" t="s">
        <v>78</v>
      </c>
      <c r="L3" t="s">
        <v>80</v>
      </c>
    </row>
    <row r="4" spans="1:12" ht="18" x14ac:dyDescent="0.5">
      <c r="A4" s="12" t="s">
        <v>81</v>
      </c>
      <c r="B4" s="32">
        <v>13253.9</v>
      </c>
      <c r="E4" s="12" t="s">
        <v>23</v>
      </c>
      <c r="F4" s="32">
        <v>20774.739999999998</v>
      </c>
      <c r="G4" s="32">
        <v>7077.9199999999992</v>
      </c>
      <c r="J4" s="12" t="s">
        <v>53</v>
      </c>
      <c r="K4" s="32">
        <v>7522.77</v>
      </c>
      <c r="L4" s="32">
        <v>2912.54</v>
      </c>
    </row>
    <row r="5" spans="1:12" ht="18" x14ac:dyDescent="0.5">
      <c r="A5" s="12" t="s">
        <v>82</v>
      </c>
      <c r="B5" s="32">
        <v>29851.040000000008</v>
      </c>
      <c r="E5" s="12" t="s">
        <v>31</v>
      </c>
      <c r="F5" s="32">
        <v>17143.289999999997</v>
      </c>
      <c r="G5" s="32">
        <v>6553.7899999999991</v>
      </c>
      <c r="J5" s="12" t="s">
        <v>43</v>
      </c>
      <c r="K5" s="32">
        <v>7296.1900000000005</v>
      </c>
      <c r="L5" s="32">
        <v>2060.81</v>
      </c>
    </row>
    <row r="6" spans="1:12" ht="18" x14ac:dyDescent="0.5">
      <c r="A6" s="12" t="s">
        <v>83</v>
      </c>
      <c r="B6" s="32">
        <v>9571.4</v>
      </c>
      <c r="E6" s="12" t="s">
        <v>55</v>
      </c>
      <c r="F6" s="32">
        <v>11915.829999999998</v>
      </c>
      <c r="G6" s="32">
        <v>4061.91</v>
      </c>
      <c r="J6" s="12" t="s">
        <v>47</v>
      </c>
      <c r="K6" s="32">
        <v>7251.18</v>
      </c>
      <c r="L6" s="32">
        <v>2339.64</v>
      </c>
    </row>
    <row r="7" spans="1:12" ht="18" x14ac:dyDescent="0.5">
      <c r="A7" s="12" t="s">
        <v>84</v>
      </c>
      <c r="B7" s="32">
        <v>15610.670000000002</v>
      </c>
      <c r="E7" s="12" t="s">
        <v>38</v>
      </c>
      <c r="F7" s="32">
        <v>11398.32</v>
      </c>
      <c r="G7" s="32">
        <v>3846.93</v>
      </c>
      <c r="J7" s="12" t="s">
        <v>36</v>
      </c>
      <c r="K7" s="32">
        <v>7020.3799999999992</v>
      </c>
      <c r="L7" s="32">
        <v>2919.45</v>
      </c>
    </row>
    <row r="8" spans="1:12" ht="18" x14ac:dyDescent="0.5">
      <c r="A8" s="12" t="s">
        <v>77</v>
      </c>
      <c r="B8" s="32">
        <v>68287.010000000009</v>
      </c>
      <c r="E8" s="12" t="s">
        <v>29</v>
      </c>
      <c r="F8" s="32">
        <v>9970.1999999999989</v>
      </c>
      <c r="G8" s="32">
        <v>3241.1099999999997</v>
      </c>
      <c r="J8" s="12" t="s">
        <v>10</v>
      </c>
      <c r="K8" s="32">
        <v>6255.7</v>
      </c>
      <c r="L8" s="32">
        <v>2122.8200000000002</v>
      </c>
    </row>
    <row r="9" spans="1:12" ht="18" x14ac:dyDescent="0.5">
      <c r="E9" s="12" t="s">
        <v>45</v>
      </c>
      <c r="F9" s="32">
        <v>8635.9500000000007</v>
      </c>
      <c r="G9" s="32">
        <v>3074.45</v>
      </c>
      <c r="J9" s="12" t="s">
        <v>50</v>
      </c>
      <c r="K9" s="32">
        <v>5801.29</v>
      </c>
      <c r="L9" s="32">
        <v>1885.71</v>
      </c>
    </row>
    <row r="10" spans="1:12" ht="18" x14ac:dyDescent="0.5">
      <c r="E10" s="12" t="s">
        <v>61</v>
      </c>
      <c r="F10" s="32">
        <v>8543.9699999999993</v>
      </c>
      <c r="G10" s="32">
        <v>2718.8399999999997</v>
      </c>
      <c r="J10" s="12" t="s">
        <v>64</v>
      </c>
      <c r="K10" s="32">
        <v>5771.59</v>
      </c>
      <c r="L10" s="32">
        <v>2039.74</v>
      </c>
    </row>
    <row r="11" spans="1:12" ht="18" x14ac:dyDescent="0.5">
      <c r="E11" s="12" t="s">
        <v>14</v>
      </c>
      <c r="F11" s="32">
        <v>8331.8499999999985</v>
      </c>
      <c r="G11" s="32">
        <v>2765.53</v>
      </c>
      <c r="J11" s="12" t="s">
        <v>17</v>
      </c>
      <c r="K11" s="32">
        <v>5615.2800000000007</v>
      </c>
      <c r="L11" s="32">
        <v>2203.6800000000003</v>
      </c>
    </row>
    <row r="12" spans="1:12" ht="18" x14ac:dyDescent="0.5">
      <c r="E12" s="12" t="s">
        <v>48</v>
      </c>
      <c r="F12" s="32">
        <v>8090.12</v>
      </c>
      <c r="G12" s="32">
        <v>2918.14</v>
      </c>
      <c r="J12" s="12" t="s">
        <v>71</v>
      </c>
      <c r="K12" s="32">
        <v>5465.71</v>
      </c>
      <c r="L12" s="32">
        <v>1937.8500000000001</v>
      </c>
    </row>
    <row r="13" spans="1:12" ht="18" x14ac:dyDescent="0.5">
      <c r="E13" s="12" t="s">
        <v>26</v>
      </c>
      <c r="F13" s="32">
        <v>7881.9</v>
      </c>
      <c r="G13" s="32">
        <v>2535.5100000000002</v>
      </c>
      <c r="J13" s="12" t="s">
        <v>59</v>
      </c>
      <c r="K13" s="32">
        <v>5443.34</v>
      </c>
      <c r="L13" s="32">
        <v>2285.64</v>
      </c>
    </row>
    <row r="14" spans="1:12" ht="18" x14ac:dyDescent="0.5">
      <c r="E14" s="12" t="s">
        <v>77</v>
      </c>
      <c r="F14" s="32">
        <v>112686.16999999998</v>
      </c>
      <c r="G14" s="32">
        <v>38794.129999999997</v>
      </c>
      <c r="J14" s="12" t="s">
        <v>66</v>
      </c>
      <c r="K14" s="32">
        <v>5014.96</v>
      </c>
      <c r="L14" s="32">
        <v>1909.5700000000002</v>
      </c>
    </row>
    <row r="15" spans="1:12" ht="18" x14ac:dyDescent="0.5">
      <c r="J15" s="12" t="s">
        <v>33</v>
      </c>
      <c r="K15" s="32">
        <v>3968.59</v>
      </c>
      <c r="L15" s="32">
        <v>1386.78</v>
      </c>
    </row>
    <row r="16" spans="1:12" ht="18" x14ac:dyDescent="0.5">
      <c r="J16" s="12" t="s">
        <v>56</v>
      </c>
      <c r="K16" s="32">
        <v>3819.1400000000003</v>
      </c>
      <c r="L16" s="32">
        <v>1273.1899999999998</v>
      </c>
    </row>
    <row r="17" spans="1:15" ht="18" x14ac:dyDescent="0.5">
      <c r="J17" s="12" t="s">
        <v>69</v>
      </c>
      <c r="K17" s="32">
        <v>2304.9</v>
      </c>
      <c r="L17" s="32">
        <v>1020.72</v>
      </c>
    </row>
    <row r="18" spans="1:15" ht="18" x14ac:dyDescent="0.5">
      <c r="J18" s="12" t="s">
        <v>42</v>
      </c>
      <c r="K18" s="32">
        <v>1672.88</v>
      </c>
      <c r="L18" s="32">
        <v>569.64</v>
      </c>
    </row>
    <row r="19" spans="1:15" ht="18" x14ac:dyDescent="0.5">
      <c r="J19" s="12" t="s">
        <v>51</v>
      </c>
      <c r="K19" s="32">
        <v>1450.99</v>
      </c>
      <c r="L19" s="32">
        <v>410.91999999999996</v>
      </c>
    </row>
    <row r="20" spans="1:15" ht="18" x14ac:dyDescent="0.5">
      <c r="J20" s="12" t="s">
        <v>62</v>
      </c>
      <c r="K20" s="32">
        <v>856.7</v>
      </c>
      <c r="L20" s="32">
        <v>214.18</v>
      </c>
    </row>
    <row r="21" spans="1:15" ht="18" x14ac:dyDescent="0.5">
      <c r="J21" s="12" t="s">
        <v>77</v>
      </c>
      <c r="K21" s="32">
        <v>82531.59</v>
      </c>
      <c r="L21" s="32">
        <v>29492.880000000001</v>
      </c>
    </row>
    <row r="24" spans="1:15" ht="18" x14ac:dyDescent="0.5">
      <c r="A24" s="52" t="s">
        <v>145</v>
      </c>
      <c r="B24" s="52"/>
      <c r="C24" s="52"/>
      <c r="M24" s="49" t="s">
        <v>162</v>
      </c>
      <c r="N24" s="49" t="s">
        <v>163</v>
      </c>
      <c r="O24" s="49" t="s">
        <v>8</v>
      </c>
    </row>
    <row r="25" spans="1:15" ht="18" x14ac:dyDescent="0.5">
      <c r="A25" s="11" t="s">
        <v>76</v>
      </c>
      <c r="B25" t="s">
        <v>80</v>
      </c>
      <c r="C25" t="s">
        <v>78</v>
      </c>
      <c r="M25" t="s">
        <v>164</v>
      </c>
      <c r="N25">
        <f>GETPIVOTDATA("Sum of Sales",$E$3)</f>
        <v>112686.16999999998</v>
      </c>
      <c r="O25">
        <f>GETPIVOTDATA("Sum of Profit",$E$3)</f>
        <v>38794.129999999997</v>
      </c>
    </row>
    <row r="26" spans="1:15" ht="18" x14ac:dyDescent="0.5">
      <c r="A26" s="12" t="s">
        <v>133</v>
      </c>
      <c r="B26" s="32">
        <v>5763.4</v>
      </c>
      <c r="C26" s="32">
        <v>14914.650000000001</v>
      </c>
      <c r="G26" s="52" t="s">
        <v>150</v>
      </c>
      <c r="H26" s="52"/>
      <c r="I26" s="52"/>
      <c r="M26" t="s">
        <v>165</v>
      </c>
      <c r="N26">
        <f>GETPIVOTDATA("Sum of Sales",$J$3)</f>
        <v>82531.59</v>
      </c>
      <c r="O26">
        <f>GETPIVOTDATA("Sum of Profit",$J$3)</f>
        <v>29492.880000000001</v>
      </c>
    </row>
    <row r="27" spans="1:15" ht="18" x14ac:dyDescent="0.5">
      <c r="A27" s="12" t="s">
        <v>134</v>
      </c>
      <c r="B27" s="32">
        <v>5039.2299999999996</v>
      </c>
      <c r="C27" s="32">
        <v>14006.359999999999</v>
      </c>
      <c r="G27" s="11" t="s">
        <v>76</v>
      </c>
      <c r="H27" t="s">
        <v>80</v>
      </c>
      <c r="I27" t="s">
        <v>78</v>
      </c>
    </row>
    <row r="28" spans="1:15" ht="18" x14ac:dyDescent="0.5">
      <c r="A28" s="12" t="s">
        <v>135</v>
      </c>
      <c r="B28" s="32">
        <v>7071.39</v>
      </c>
      <c r="C28" s="32">
        <v>17655.219999999998</v>
      </c>
      <c r="G28" s="12" t="s">
        <v>34</v>
      </c>
      <c r="H28" s="32">
        <v>16068.4</v>
      </c>
      <c r="I28" s="32">
        <v>43468.33</v>
      </c>
    </row>
    <row r="29" spans="1:15" ht="18" x14ac:dyDescent="0.5">
      <c r="A29" s="12" t="s">
        <v>136</v>
      </c>
      <c r="B29" s="32">
        <v>7642.86</v>
      </c>
      <c r="C29" s="32">
        <v>22242.129999999997</v>
      </c>
      <c r="G29" s="12" t="s">
        <v>18</v>
      </c>
      <c r="H29" s="32">
        <v>11638.589999999997</v>
      </c>
      <c r="I29" s="32">
        <v>32441.64</v>
      </c>
    </row>
    <row r="30" spans="1:15" ht="18" x14ac:dyDescent="0.5">
      <c r="A30" s="12" t="s">
        <v>137</v>
      </c>
      <c r="B30" s="32">
        <v>6121.3499999999995</v>
      </c>
      <c r="C30" s="32">
        <v>18507.339999999997</v>
      </c>
      <c r="G30" s="12" t="s">
        <v>24</v>
      </c>
      <c r="H30" s="32">
        <v>11902.279999999997</v>
      </c>
      <c r="I30" s="32">
        <v>34975.42</v>
      </c>
    </row>
    <row r="31" spans="1:15" ht="18" x14ac:dyDescent="0.5">
      <c r="A31" s="12" t="s">
        <v>138</v>
      </c>
      <c r="B31" s="32">
        <v>6918</v>
      </c>
      <c r="C31" s="32">
        <v>20187.509999999998</v>
      </c>
      <c r="G31" s="12" t="s">
        <v>20</v>
      </c>
      <c r="H31" s="32">
        <v>13691.910000000003</v>
      </c>
      <c r="I31" s="32">
        <v>40248.79</v>
      </c>
    </row>
    <row r="32" spans="1:15" ht="18" x14ac:dyDescent="0.5">
      <c r="A32" s="12" t="s">
        <v>139</v>
      </c>
      <c r="B32" s="32">
        <v>3743.85</v>
      </c>
      <c r="C32" s="32">
        <v>11609.039999999999</v>
      </c>
      <c r="G32" s="12" t="s">
        <v>11</v>
      </c>
      <c r="H32" s="32">
        <v>14985.830000000002</v>
      </c>
      <c r="I32" s="32">
        <v>44083.58</v>
      </c>
    </row>
    <row r="33" spans="1:11" ht="18" x14ac:dyDescent="0.5">
      <c r="A33" s="12" t="s">
        <v>140</v>
      </c>
      <c r="B33" s="32">
        <v>3302.84</v>
      </c>
      <c r="C33" s="32">
        <v>10091.699999999999</v>
      </c>
      <c r="G33" s="12" t="s">
        <v>77</v>
      </c>
      <c r="H33" s="32">
        <v>68287.010000000009</v>
      </c>
      <c r="I33" s="32">
        <v>195217.76</v>
      </c>
    </row>
    <row r="34" spans="1:11" ht="18" x14ac:dyDescent="0.5">
      <c r="A34" s="12" t="s">
        <v>141</v>
      </c>
      <c r="B34" s="32">
        <v>7457.5199999999995</v>
      </c>
      <c r="C34" s="32">
        <v>20533.499999999996</v>
      </c>
    </row>
    <row r="35" spans="1:11" ht="18" x14ac:dyDescent="0.5">
      <c r="A35" s="12" t="s">
        <v>142</v>
      </c>
      <c r="B35" s="32">
        <v>4861.7</v>
      </c>
      <c r="C35" s="32">
        <v>14215.240000000002</v>
      </c>
    </row>
    <row r="36" spans="1:11" ht="18" x14ac:dyDescent="0.5">
      <c r="A36" s="12" t="s">
        <v>143</v>
      </c>
      <c r="B36" s="32">
        <v>6814.8799999999992</v>
      </c>
      <c r="C36" s="32">
        <v>20135.030000000002</v>
      </c>
    </row>
    <row r="37" spans="1:11" ht="18" x14ac:dyDescent="0.5">
      <c r="A37" s="12" t="s">
        <v>144</v>
      </c>
      <c r="B37" s="32">
        <v>3549.99</v>
      </c>
      <c r="C37" s="32">
        <v>11120.04</v>
      </c>
      <c r="I37" s="52" t="s">
        <v>153</v>
      </c>
      <c r="J37" s="53"/>
      <c r="K37" s="53"/>
    </row>
    <row r="38" spans="1:11" ht="18" x14ac:dyDescent="0.5">
      <c r="A38" s="12" t="s">
        <v>77</v>
      </c>
      <c r="B38" s="32">
        <v>68287.009999999995</v>
      </c>
      <c r="C38" s="32">
        <v>195217.75999999995</v>
      </c>
      <c r="I38" s="11" t="s">
        <v>76</v>
      </c>
      <c r="J38" s="11" t="s">
        <v>159</v>
      </c>
      <c r="K38" t="s">
        <v>78</v>
      </c>
    </row>
    <row r="39" spans="1:11" ht="18" x14ac:dyDescent="0.5">
      <c r="I39" s="12" t="s">
        <v>154</v>
      </c>
      <c r="J39" s="32">
        <v>427.36468085106367</v>
      </c>
      <c r="K39" s="32">
        <v>115601.26999999999</v>
      </c>
    </row>
    <row r="40" spans="1:11" ht="18" x14ac:dyDescent="0.5">
      <c r="I40" s="12" t="s">
        <v>155</v>
      </c>
      <c r="J40" s="32">
        <v>265.2333018867925</v>
      </c>
      <c r="K40" s="32">
        <v>79616.490000000034</v>
      </c>
    </row>
    <row r="41" spans="1:11" ht="18" x14ac:dyDescent="0.5">
      <c r="I41" s="12" t="s">
        <v>77</v>
      </c>
      <c r="J41" s="32">
        <v>341.43504999999999</v>
      </c>
      <c r="K41" s="32">
        <v>195217.75999999998</v>
      </c>
    </row>
    <row r="45" spans="1:11" ht="18" x14ac:dyDescent="0.5">
      <c r="A45" s="52" t="s">
        <v>152</v>
      </c>
      <c r="B45" s="53"/>
      <c r="C45" s="53"/>
      <c r="D45" s="53"/>
      <c r="E45" s="53"/>
      <c r="F45" s="53"/>
    </row>
    <row r="46" spans="1:11" ht="18" x14ac:dyDescent="0.5">
      <c r="A46" s="11" t="s">
        <v>80</v>
      </c>
      <c r="B46" s="11" t="s">
        <v>146</v>
      </c>
    </row>
    <row r="47" spans="1:11" ht="18" x14ac:dyDescent="0.5">
      <c r="A47" s="11" t="s">
        <v>76</v>
      </c>
      <c r="B47" t="s">
        <v>12</v>
      </c>
      <c r="C47" t="s">
        <v>15</v>
      </c>
      <c r="D47" t="s">
        <v>21</v>
      </c>
      <c r="E47" t="s">
        <v>27</v>
      </c>
      <c r="F47" t="s">
        <v>39</v>
      </c>
      <c r="G47" t="s">
        <v>77</v>
      </c>
    </row>
    <row r="48" spans="1:11" ht="18" x14ac:dyDescent="0.5">
      <c r="A48" s="12">
        <v>0</v>
      </c>
      <c r="B48" s="32">
        <v>2543.16</v>
      </c>
      <c r="C48" s="32">
        <v>4081.28</v>
      </c>
      <c r="D48" s="32">
        <v>2895.0699999999997</v>
      </c>
      <c r="E48" s="32">
        <v>2687.34</v>
      </c>
      <c r="F48" s="32">
        <v>3403.82</v>
      </c>
      <c r="G48" s="32">
        <v>15610.67</v>
      </c>
    </row>
    <row r="49" spans="1:10" ht="18" x14ac:dyDescent="0.5">
      <c r="A49" s="12">
        <v>0.05</v>
      </c>
      <c r="B49" s="32">
        <v>4765.8499999999995</v>
      </c>
      <c r="C49" s="32">
        <v>3358.8899999999994</v>
      </c>
      <c r="D49" s="32">
        <v>1325.1899999999998</v>
      </c>
      <c r="E49" s="32">
        <v>2601.87</v>
      </c>
      <c r="F49" s="32">
        <v>3032.93</v>
      </c>
      <c r="G49" s="32">
        <v>15084.73</v>
      </c>
    </row>
    <row r="50" spans="1:10" ht="18" x14ac:dyDescent="0.5">
      <c r="A50" s="12">
        <v>0.1</v>
      </c>
      <c r="B50" s="32">
        <v>4024.9</v>
      </c>
      <c r="C50" s="32">
        <v>5140.9399999999996</v>
      </c>
      <c r="D50" s="32">
        <v>896.44</v>
      </c>
      <c r="E50" s="32">
        <v>2120.09</v>
      </c>
      <c r="F50" s="32">
        <v>2583.94</v>
      </c>
      <c r="G50" s="32">
        <v>14766.310000000001</v>
      </c>
    </row>
    <row r="51" spans="1:10" ht="18" x14ac:dyDescent="0.5">
      <c r="A51" s="12">
        <v>0.15</v>
      </c>
      <c r="B51" s="32">
        <v>2592.2699999999995</v>
      </c>
      <c r="C51" s="32">
        <v>1625.86</v>
      </c>
      <c r="D51" s="32">
        <v>1453.03</v>
      </c>
      <c r="E51" s="32">
        <v>2442.3199999999997</v>
      </c>
      <c r="F51" s="32">
        <v>1457.9199999999998</v>
      </c>
      <c r="G51" s="32">
        <v>9571.3999999999978</v>
      </c>
    </row>
    <row r="52" spans="1:10" ht="18" x14ac:dyDescent="0.5">
      <c r="A52" s="12">
        <v>0.2</v>
      </c>
      <c r="B52" s="32">
        <v>2975.45</v>
      </c>
      <c r="C52" s="32">
        <v>4577.5200000000004</v>
      </c>
      <c r="D52" s="32">
        <v>2612.42</v>
      </c>
      <c r="E52" s="32">
        <v>1727.52</v>
      </c>
      <c r="F52" s="32">
        <v>1360.9899999999998</v>
      </c>
      <c r="G52" s="32">
        <v>13253.9</v>
      </c>
    </row>
    <row r="53" spans="1:10" ht="18" x14ac:dyDescent="0.5">
      <c r="A53" s="12" t="s">
        <v>77</v>
      </c>
      <c r="B53" s="32">
        <v>16901.63</v>
      </c>
      <c r="C53" s="32">
        <v>18784.490000000002</v>
      </c>
      <c r="D53" s="32">
        <v>9182.1499999999978</v>
      </c>
      <c r="E53" s="32">
        <v>11579.14</v>
      </c>
      <c r="F53" s="32">
        <v>11839.6</v>
      </c>
      <c r="G53" s="32">
        <v>68287.009999999995</v>
      </c>
    </row>
    <row r="57" spans="1:10" ht="18" x14ac:dyDescent="0.5">
      <c r="I57" s="52" t="s">
        <v>161</v>
      </c>
      <c r="J57" s="52"/>
    </row>
    <row r="58" spans="1:10" ht="18" x14ac:dyDescent="0.5">
      <c r="A58" s="52" t="s">
        <v>151</v>
      </c>
      <c r="B58" s="52"/>
      <c r="C58" s="52"/>
      <c r="D58" s="52"/>
      <c r="I58" s="11" t="s">
        <v>76</v>
      </c>
      <c r="J58" t="s">
        <v>157</v>
      </c>
    </row>
    <row r="59" spans="1:10" ht="18" x14ac:dyDescent="0.5">
      <c r="A59" s="11" t="s">
        <v>76</v>
      </c>
      <c r="B59" t="s">
        <v>78</v>
      </c>
      <c r="C59" t="s">
        <v>80</v>
      </c>
      <c r="I59" s="12" t="s">
        <v>12</v>
      </c>
      <c r="J59" s="44">
        <v>0.3583677046632085</v>
      </c>
    </row>
    <row r="60" spans="1:10" ht="18" x14ac:dyDescent="0.5">
      <c r="A60" s="12" t="s">
        <v>12</v>
      </c>
      <c r="B60">
        <v>47002.46</v>
      </c>
      <c r="C60">
        <v>16901.63</v>
      </c>
      <c r="I60" s="12" t="s">
        <v>15</v>
      </c>
      <c r="J60" s="44">
        <v>0.4506095175242199</v>
      </c>
    </row>
    <row r="61" spans="1:10" ht="18" x14ac:dyDescent="0.5">
      <c r="A61" s="12" t="s">
        <v>15</v>
      </c>
      <c r="B61">
        <v>41927.589999999997</v>
      </c>
      <c r="C61">
        <v>18784.490000000002</v>
      </c>
      <c r="I61" s="12" t="s">
        <v>21</v>
      </c>
      <c r="J61" s="44">
        <v>0.22500102196023627</v>
      </c>
    </row>
    <row r="62" spans="1:10" ht="18" x14ac:dyDescent="0.5">
      <c r="A62" s="12" t="s">
        <v>21</v>
      </c>
      <c r="B62">
        <v>41044</v>
      </c>
      <c r="C62">
        <v>9182.15</v>
      </c>
      <c r="I62" s="12" t="s">
        <v>27</v>
      </c>
      <c r="J62" s="44">
        <v>0.31597260094800306</v>
      </c>
    </row>
    <row r="63" spans="1:10" ht="18" x14ac:dyDescent="0.5">
      <c r="A63" s="12" t="s">
        <v>27</v>
      </c>
      <c r="B63">
        <v>36612.89</v>
      </c>
      <c r="C63">
        <v>11579.14</v>
      </c>
      <c r="I63" s="12" t="s">
        <v>39</v>
      </c>
      <c r="J63" s="44">
        <v>0.41370968481086762</v>
      </c>
    </row>
    <row r="64" spans="1:10" ht="18" x14ac:dyDescent="0.5">
      <c r="A64" s="12" t="s">
        <v>39</v>
      </c>
      <c r="B64">
        <v>28630.82</v>
      </c>
      <c r="C64">
        <v>11839.6</v>
      </c>
      <c r="I64" s="12" t="s">
        <v>77</v>
      </c>
      <c r="J64" s="44">
        <v>0.34955032777272721</v>
      </c>
    </row>
    <row r="65" spans="1:3" ht="18" x14ac:dyDescent="0.5">
      <c r="A65" s="12" t="s">
        <v>77</v>
      </c>
      <c r="B65">
        <v>195217.76</v>
      </c>
      <c r="C65">
        <v>68287.009999999995</v>
      </c>
    </row>
    <row r="72" spans="1:3" ht="18" x14ac:dyDescent="0.5">
      <c r="A72" s="52" t="s">
        <v>151</v>
      </c>
      <c r="B72" s="52"/>
      <c r="C72" s="52"/>
    </row>
    <row r="73" spans="1:3" ht="18" x14ac:dyDescent="0.5">
      <c r="A73" s="11" t="s">
        <v>76</v>
      </c>
      <c r="B73" t="s">
        <v>78</v>
      </c>
      <c r="C73" t="s">
        <v>80</v>
      </c>
    </row>
    <row r="74" spans="1:3" ht="18" x14ac:dyDescent="0.5">
      <c r="A74" s="12" t="s">
        <v>12</v>
      </c>
      <c r="B74">
        <v>47002.46</v>
      </c>
      <c r="C74">
        <v>16901.63</v>
      </c>
    </row>
    <row r="75" spans="1:3" ht="18" x14ac:dyDescent="0.5">
      <c r="A75" s="12" t="s">
        <v>15</v>
      </c>
      <c r="B75">
        <v>41927.589999999997</v>
      </c>
      <c r="C75">
        <v>18784.490000000002</v>
      </c>
    </row>
    <row r="76" spans="1:3" ht="18" x14ac:dyDescent="0.5">
      <c r="A76" s="12" t="s">
        <v>21</v>
      </c>
      <c r="B76">
        <v>41044</v>
      </c>
      <c r="C76">
        <v>9182.15</v>
      </c>
    </row>
    <row r="77" spans="1:3" ht="18" x14ac:dyDescent="0.5">
      <c r="A77" s="12" t="s">
        <v>27</v>
      </c>
      <c r="B77">
        <v>36612.89</v>
      </c>
      <c r="C77">
        <v>11579.14</v>
      </c>
    </row>
    <row r="78" spans="1:3" ht="18" x14ac:dyDescent="0.5">
      <c r="A78" s="12" t="s">
        <v>39</v>
      </c>
      <c r="B78">
        <v>28630.82</v>
      </c>
      <c r="C78">
        <v>11839.6</v>
      </c>
    </row>
    <row r="79" spans="1:3" ht="18" x14ac:dyDescent="0.5">
      <c r="A79" s="12" t="s">
        <v>77</v>
      </c>
      <c r="B79">
        <v>195217.76</v>
      </c>
      <c r="C79">
        <v>68287.009999999995</v>
      </c>
    </row>
  </sheetData>
  <mergeCells count="10">
    <mergeCell ref="A72:C72"/>
    <mergeCell ref="J2:K2"/>
    <mergeCell ref="G26:I26"/>
    <mergeCell ref="A45:F45"/>
    <mergeCell ref="I37:K37"/>
    <mergeCell ref="A58:D58"/>
    <mergeCell ref="I57:J57"/>
    <mergeCell ref="A2:B2"/>
    <mergeCell ref="E2:F2"/>
    <mergeCell ref="A24:C24"/>
  </mergeCells>
  <pageMargins left="0.7" right="0.7" top="0.75" bottom="0.75" header="0.3" footer="0.3"/>
  <tableParts count="1">
    <tablePart r:id="rId1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01"/>
  <sheetViews>
    <sheetView tabSelected="1" topLeftCell="A2" zoomScale="85" zoomScaleNormal="85" workbookViewId="0">
      <selection activeCell="J18" sqref="J18"/>
    </sheetView>
  </sheetViews>
  <sheetFormatPr defaultRowHeight="14.4" x14ac:dyDescent="0.5"/>
  <cols>
    <col min="1" max="1" width="14.5546875" customWidth="1"/>
    <col min="2" max="2" width="19.44140625" customWidth="1"/>
    <col min="3" max="3" width="12" customWidth="1"/>
    <col min="4" max="4" width="15.88671875" customWidth="1"/>
    <col min="5" max="5" width="11.88671875" style="32" customWidth="1"/>
    <col min="6" max="6" width="16" customWidth="1"/>
    <col min="7" max="7" width="12.77734375" customWidth="1"/>
    <col min="8" max="8" width="14" style="40" customWidth="1"/>
    <col min="9" max="9" width="8.5546875" style="32" customWidth="1"/>
    <col min="10" max="10" width="15.88671875" style="17" customWidth="1"/>
    <col min="11" max="11" width="15.88671875" customWidth="1"/>
    <col min="12" max="12" width="16.88671875" customWidth="1"/>
    <col min="13" max="13" width="20.109375" style="44" customWidth="1"/>
    <col min="14" max="14" width="14.21875" customWidth="1"/>
    <col min="15" max="15" width="16.33203125" customWidth="1"/>
    <col min="16" max="16" width="22" customWidth="1"/>
    <col min="17" max="18" width="16.33203125" customWidth="1"/>
    <col min="19" max="37" width="16.33203125" bestFit="1" customWidth="1"/>
    <col min="38" max="38" width="10.77734375" bestFit="1" customWidth="1"/>
  </cols>
  <sheetData>
    <row r="1" spans="1:17" ht="17.399999999999999" customHeight="1" thickBot="1" x14ac:dyDescent="0.55000000000000004">
      <c r="A1" s="10" t="s">
        <v>0</v>
      </c>
      <c r="B1" s="9" t="s">
        <v>1</v>
      </c>
      <c r="C1" s="9" t="s">
        <v>2</v>
      </c>
      <c r="D1" s="9" t="s">
        <v>3</v>
      </c>
      <c r="E1" s="29" t="s">
        <v>4</v>
      </c>
      <c r="F1" s="9" t="s">
        <v>5</v>
      </c>
      <c r="G1" s="9" t="s">
        <v>6</v>
      </c>
      <c r="H1" s="39" t="s">
        <v>7</v>
      </c>
      <c r="I1" s="33" t="s">
        <v>8</v>
      </c>
      <c r="J1" s="14" t="s">
        <v>79</v>
      </c>
      <c r="K1" s="9" t="s">
        <v>147</v>
      </c>
      <c r="L1" s="9" t="s">
        <v>148</v>
      </c>
      <c r="M1" s="47" t="s">
        <v>156</v>
      </c>
    </row>
    <row r="2" spans="1:17" ht="18.600000000000001" thickBot="1" x14ac:dyDescent="0.55000000000000004">
      <c r="A2" s="4" t="s">
        <v>9</v>
      </c>
      <c r="B2" s="1" t="s">
        <v>10</v>
      </c>
      <c r="C2" s="1" t="s">
        <v>11</v>
      </c>
      <c r="D2" s="1" t="s">
        <v>12</v>
      </c>
      <c r="E2" s="30">
        <v>1036.0899999999999</v>
      </c>
      <c r="F2" s="2">
        <v>4</v>
      </c>
      <c r="G2" s="2">
        <v>0.2</v>
      </c>
      <c r="H2" s="3">
        <v>45392</v>
      </c>
      <c r="I2" s="34">
        <v>331.55</v>
      </c>
      <c r="J2" s="15" t="str">
        <f t="shared" ref="J2:J33" si="0">_xlfn.IFS(G2=0,"No Discount", G2&lt;=0.1,"Low Discount",G2&lt;=0.15,"Medium Discount",G2&gt;0.15,"High Discount")</f>
        <v>High Discount</v>
      </c>
      <c r="K2" s="42">
        <f t="shared" ref="K2:K33" ca="1" si="1">NOW()</f>
        <v>46081.614984027779</v>
      </c>
      <c r="L2" s="41" t="str">
        <f>IF(Table1[Sales]&gt;1000,"High purchase","Normal purchase")</f>
        <v>High purchase</v>
      </c>
      <c r="M2" s="48">
        <f>Table1[[#This Row],[Profit]]/Table1[[#This Row],[Sales]]</f>
        <v>0.32000115820054248</v>
      </c>
    </row>
    <row r="3" spans="1:17" ht="18.600000000000001" thickBot="1" x14ac:dyDescent="0.55000000000000004">
      <c r="A3" s="4" t="s">
        <v>13</v>
      </c>
      <c r="B3" s="1" t="s">
        <v>14</v>
      </c>
      <c r="C3" s="1" t="s">
        <v>11</v>
      </c>
      <c r="D3" s="1" t="s">
        <v>15</v>
      </c>
      <c r="E3" s="30">
        <v>1101.28</v>
      </c>
      <c r="F3" s="2">
        <v>3</v>
      </c>
      <c r="G3" s="2">
        <v>0.2</v>
      </c>
      <c r="H3" s="3">
        <v>45393</v>
      </c>
      <c r="I3" s="34">
        <v>440.51</v>
      </c>
      <c r="J3" s="13" t="str">
        <f t="shared" si="0"/>
        <v>High Discount</v>
      </c>
      <c r="K3" s="42">
        <f t="shared" ca="1" si="1"/>
        <v>46081.614984027779</v>
      </c>
      <c r="L3" s="41" t="str">
        <f>IF(Table1[Sales]&gt;1000,"High purchase","Normal purchase")</f>
        <v>High purchase</v>
      </c>
      <c r="M3" s="48">
        <f>Table1[[#This Row],[Profit]]/Table1[[#This Row],[Sales]]</f>
        <v>0.39999818393142528</v>
      </c>
      <c r="N3" s="43"/>
    </row>
    <row r="4" spans="1:17" ht="18.600000000000001" thickBot="1" x14ac:dyDescent="0.55000000000000004">
      <c r="A4" s="4" t="s">
        <v>16</v>
      </c>
      <c r="B4" s="1" t="s">
        <v>17</v>
      </c>
      <c r="C4" s="1" t="s">
        <v>18</v>
      </c>
      <c r="D4" s="1" t="s">
        <v>12</v>
      </c>
      <c r="E4" s="30">
        <v>713.34</v>
      </c>
      <c r="F4" s="2">
        <v>17</v>
      </c>
      <c r="G4" s="2">
        <v>0</v>
      </c>
      <c r="H4" s="3">
        <v>45396</v>
      </c>
      <c r="I4" s="34">
        <v>285.33999999999997</v>
      </c>
      <c r="J4" s="13" t="str">
        <f t="shared" si="0"/>
        <v>No Discount</v>
      </c>
      <c r="K4" s="42">
        <f t="shared" ca="1" si="1"/>
        <v>46081.614984027779</v>
      </c>
      <c r="L4" s="41" t="str">
        <f>IF(Table1[Sales]&gt;1000,"High purchase","Normal purchase")</f>
        <v>Normal purchase</v>
      </c>
      <c r="M4" s="48">
        <f>Table1[[#This Row],[Profit]]/Table1[[#This Row],[Sales]]</f>
        <v>0.40000560742422964</v>
      </c>
    </row>
    <row r="5" spans="1:17" ht="18.600000000000001" thickBot="1" x14ac:dyDescent="0.55000000000000004">
      <c r="A5" s="4" t="s">
        <v>19</v>
      </c>
      <c r="B5" s="1" t="s">
        <v>14</v>
      </c>
      <c r="C5" s="1" t="s">
        <v>20</v>
      </c>
      <c r="D5" s="1" t="s">
        <v>21</v>
      </c>
      <c r="E5" s="30">
        <v>760.93</v>
      </c>
      <c r="F5" s="2">
        <v>4</v>
      </c>
      <c r="G5" s="2">
        <v>0.15</v>
      </c>
      <c r="H5" s="3">
        <v>45396</v>
      </c>
      <c r="I5" s="34">
        <v>161.69999999999999</v>
      </c>
      <c r="J5" s="13" t="str">
        <f t="shared" si="0"/>
        <v>Medium Discount</v>
      </c>
      <c r="K5" s="42">
        <f t="shared" ca="1" si="1"/>
        <v>46081.614984027779</v>
      </c>
      <c r="L5" s="41" t="str">
        <f>IF(Table1[Sales]&gt;1000,"High purchase","Normal purchase")</f>
        <v>Normal purchase</v>
      </c>
      <c r="M5" s="48">
        <f>Table1[[#This Row],[Profit]]/Table1[[#This Row],[Sales]]</f>
        <v>0.2125031211806605</v>
      </c>
    </row>
    <row r="6" spans="1:17" ht="18.600000000000001" thickBot="1" x14ac:dyDescent="0.55000000000000004">
      <c r="A6" s="4" t="s">
        <v>22</v>
      </c>
      <c r="B6" s="1" t="s">
        <v>23</v>
      </c>
      <c r="C6" s="1" t="s">
        <v>24</v>
      </c>
      <c r="D6" s="1" t="s">
        <v>12</v>
      </c>
      <c r="E6" s="30">
        <v>847</v>
      </c>
      <c r="F6" s="2">
        <v>12</v>
      </c>
      <c r="G6" s="2">
        <v>0.2</v>
      </c>
      <c r="H6" s="3">
        <v>45397</v>
      </c>
      <c r="I6" s="34">
        <v>271.04000000000002</v>
      </c>
      <c r="J6" s="13" t="str">
        <f t="shared" si="0"/>
        <v>High Discount</v>
      </c>
      <c r="K6" s="42">
        <f t="shared" ca="1" si="1"/>
        <v>46081.614984027779</v>
      </c>
      <c r="L6" s="41" t="str">
        <f>IF(Table1[Sales]&gt;1000,"High purchase","Normal purchase")</f>
        <v>Normal purchase</v>
      </c>
      <c r="M6" s="48">
        <f>Table1[[#This Row],[Profit]]/Table1[[#This Row],[Sales]]</f>
        <v>0.32</v>
      </c>
      <c r="O6" s="54" t="s">
        <v>149</v>
      </c>
      <c r="P6" s="54"/>
      <c r="Q6" s="45" t="str">
        <f>INDEX(Table1[Customer_Name],MATCH(MAX(Table1[Sales]),Table1[Sales],0))</f>
        <v>James Wilson</v>
      </c>
    </row>
    <row r="7" spans="1:17" ht="18.600000000000001" thickBot="1" x14ac:dyDescent="0.55000000000000004">
      <c r="A7" s="4" t="s">
        <v>25</v>
      </c>
      <c r="B7" s="1" t="s">
        <v>26</v>
      </c>
      <c r="C7" s="1" t="s">
        <v>24</v>
      </c>
      <c r="D7" s="1" t="s">
        <v>27</v>
      </c>
      <c r="E7" s="30">
        <v>965.64</v>
      </c>
      <c r="F7" s="2">
        <v>8</v>
      </c>
      <c r="G7" s="2">
        <v>0.1</v>
      </c>
      <c r="H7" s="3">
        <v>45398</v>
      </c>
      <c r="I7" s="34">
        <v>304.18</v>
      </c>
      <c r="J7" s="13" t="str">
        <f t="shared" si="0"/>
        <v>Low Discount</v>
      </c>
      <c r="K7" s="42">
        <f t="shared" ca="1" si="1"/>
        <v>46081.614984027779</v>
      </c>
      <c r="L7" s="41" t="str">
        <f>IF(Table1[Sales]&gt;1000,"High purchase","Normal purchase")</f>
        <v>Normal purchase</v>
      </c>
      <c r="M7" s="48">
        <f>Table1[[#This Row],[Profit]]/Table1[[#This Row],[Sales]]</f>
        <v>0.31500352098090389</v>
      </c>
    </row>
    <row r="8" spans="1:17" ht="18.600000000000001" thickBot="1" x14ac:dyDescent="0.55000000000000004">
      <c r="A8" s="4" t="s">
        <v>28</v>
      </c>
      <c r="B8" s="1" t="s">
        <v>29</v>
      </c>
      <c r="C8" s="1" t="s">
        <v>11</v>
      </c>
      <c r="D8" s="1" t="s">
        <v>21</v>
      </c>
      <c r="E8" s="30">
        <v>1317.53</v>
      </c>
      <c r="F8" s="2">
        <v>12</v>
      </c>
      <c r="G8" s="2">
        <v>0.05</v>
      </c>
      <c r="H8" s="3">
        <v>45398</v>
      </c>
      <c r="I8" s="34">
        <v>312.91000000000003</v>
      </c>
      <c r="J8" s="13" t="str">
        <f t="shared" si="0"/>
        <v>Low Discount</v>
      </c>
      <c r="K8" s="42">
        <f t="shared" ca="1" si="1"/>
        <v>46081.614984027779</v>
      </c>
      <c r="L8" s="41" t="str">
        <f>IF(Table1[Sales]&gt;1000,"High purchase","Normal purchase")</f>
        <v>High purchase</v>
      </c>
      <c r="M8" s="48">
        <f>Table1[[#This Row],[Profit]]/Table1[[#This Row],[Sales]]</f>
        <v>0.23749743838849971</v>
      </c>
    </row>
    <row r="9" spans="1:17" ht="18.600000000000001" thickBot="1" x14ac:dyDescent="0.55000000000000004">
      <c r="A9" s="4" t="s">
        <v>30</v>
      </c>
      <c r="B9" s="1" t="s">
        <v>31</v>
      </c>
      <c r="C9" s="1" t="s">
        <v>18</v>
      </c>
      <c r="D9" s="1" t="s">
        <v>27</v>
      </c>
      <c r="E9" s="30">
        <v>1074.47</v>
      </c>
      <c r="F9" s="2">
        <v>6</v>
      </c>
      <c r="G9" s="2">
        <v>0.2</v>
      </c>
      <c r="H9" s="3">
        <v>45401</v>
      </c>
      <c r="I9" s="34">
        <v>300.85000000000002</v>
      </c>
      <c r="J9" s="13" t="str">
        <f t="shared" si="0"/>
        <v>High Discount</v>
      </c>
      <c r="K9" s="42">
        <f t="shared" ca="1" si="1"/>
        <v>46081.614984027779</v>
      </c>
      <c r="L9" s="41" t="str">
        <f>IF(Table1[Sales]&gt;1000,"High purchase","Normal purchase")</f>
        <v>High purchase</v>
      </c>
      <c r="M9" s="48">
        <f>Table1[[#This Row],[Profit]]/Table1[[#This Row],[Sales]]</f>
        <v>0.279998510893743</v>
      </c>
      <c r="O9" s="54" t="s">
        <v>158</v>
      </c>
      <c r="P9" s="55"/>
    </row>
    <row r="10" spans="1:17" ht="18.600000000000001" thickBot="1" x14ac:dyDescent="0.55000000000000004">
      <c r="A10" s="4" t="s">
        <v>32</v>
      </c>
      <c r="B10" s="1" t="s">
        <v>33</v>
      </c>
      <c r="C10" s="1" t="s">
        <v>34</v>
      </c>
      <c r="D10" s="1" t="s">
        <v>12</v>
      </c>
      <c r="E10" s="30">
        <v>501.54</v>
      </c>
      <c r="F10" s="2">
        <v>11</v>
      </c>
      <c r="G10" s="2">
        <v>0.05</v>
      </c>
      <c r="H10" s="3">
        <v>45401</v>
      </c>
      <c r="I10" s="34">
        <v>190.59</v>
      </c>
      <c r="J10" s="13" t="str">
        <f t="shared" si="0"/>
        <v>Low Discount</v>
      </c>
      <c r="K10" s="42">
        <f t="shared" ca="1" si="1"/>
        <v>46081.614984027779</v>
      </c>
      <c r="L10" s="41" t="str">
        <f>IF(Table1[Sales]&gt;1000,"High purchase","Normal purchase")</f>
        <v>Normal purchase</v>
      </c>
      <c r="M10" s="48">
        <f>Table1[[#This Row],[Profit]]/Table1[[#This Row],[Sales]]</f>
        <v>0.38000957052278977</v>
      </c>
      <c r="O10">
        <f>CORREL(E:E,I:I)</f>
        <v>0.77340306414342652</v>
      </c>
    </row>
    <row r="11" spans="1:17" ht="18.600000000000001" thickBot="1" x14ac:dyDescent="0.55000000000000004">
      <c r="A11" s="4" t="s">
        <v>35</v>
      </c>
      <c r="B11" s="1" t="s">
        <v>36</v>
      </c>
      <c r="C11" s="1" t="s">
        <v>34</v>
      </c>
      <c r="D11" s="1" t="s">
        <v>15</v>
      </c>
      <c r="E11" s="30">
        <v>737.31</v>
      </c>
      <c r="F11" s="2">
        <v>2</v>
      </c>
      <c r="G11" s="2">
        <v>0.05</v>
      </c>
      <c r="H11" s="3">
        <v>45401</v>
      </c>
      <c r="I11" s="34">
        <v>350.22</v>
      </c>
      <c r="J11" s="13" t="str">
        <f t="shared" si="0"/>
        <v>Low Discount</v>
      </c>
      <c r="K11" s="42">
        <f t="shared" ca="1" si="1"/>
        <v>46081.614984027779</v>
      </c>
      <c r="L11" s="41" t="str">
        <f>IF(Table1[Sales]&gt;1000,"High purchase","Normal purchase")</f>
        <v>Normal purchase</v>
      </c>
      <c r="M11" s="48">
        <f>Table1[[#This Row],[Profit]]/Table1[[#This Row],[Sales]]</f>
        <v>0.47499694836635886</v>
      </c>
    </row>
    <row r="12" spans="1:17" ht="18.600000000000001" thickBot="1" x14ac:dyDescent="0.55000000000000004">
      <c r="A12" s="4" t="s">
        <v>37</v>
      </c>
      <c r="B12" s="1" t="s">
        <v>38</v>
      </c>
      <c r="C12" s="1" t="s">
        <v>11</v>
      </c>
      <c r="D12" s="1" t="s">
        <v>39</v>
      </c>
      <c r="E12" s="30">
        <v>1572.82</v>
      </c>
      <c r="F12" s="2">
        <v>6</v>
      </c>
      <c r="G12" s="2">
        <v>0.05</v>
      </c>
      <c r="H12" s="3">
        <v>45402</v>
      </c>
      <c r="I12" s="34">
        <v>672.38</v>
      </c>
      <c r="J12" s="13" t="str">
        <f t="shared" si="0"/>
        <v>Low Discount</v>
      </c>
      <c r="K12" s="42">
        <f t="shared" ca="1" si="1"/>
        <v>46081.614984027779</v>
      </c>
      <c r="L12" s="41" t="str">
        <f>IF(Table1[Sales]&gt;1000,"High purchase","Normal purchase")</f>
        <v>High purchase</v>
      </c>
      <c r="M12" s="48">
        <f>Table1[[#This Row],[Profit]]/Table1[[#This Row],[Sales]]</f>
        <v>0.42749965030963494</v>
      </c>
    </row>
    <row r="13" spans="1:17" ht="18.600000000000001" thickBot="1" x14ac:dyDescent="0.55000000000000004">
      <c r="A13" s="4" t="s">
        <v>37</v>
      </c>
      <c r="B13" s="1" t="s">
        <v>36</v>
      </c>
      <c r="C13" s="1" t="s">
        <v>34</v>
      </c>
      <c r="D13" s="1" t="s">
        <v>12</v>
      </c>
      <c r="E13" s="30">
        <v>1343.13</v>
      </c>
      <c r="F13" s="2">
        <v>14</v>
      </c>
      <c r="G13" s="2">
        <v>0.15</v>
      </c>
      <c r="H13" s="3">
        <v>45404</v>
      </c>
      <c r="I13" s="34">
        <v>456.66</v>
      </c>
      <c r="J13" s="13" t="str">
        <f t="shared" si="0"/>
        <v>Medium Discount</v>
      </c>
      <c r="K13" s="42">
        <f t="shared" ca="1" si="1"/>
        <v>46081.614984027779</v>
      </c>
      <c r="L13" s="41" t="str">
        <f>IF(Table1[Sales]&gt;1000,"High purchase","Normal purchase")</f>
        <v>High purchase</v>
      </c>
      <c r="M13" s="48">
        <f>Table1[[#This Row],[Profit]]/Table1[[#This Row],[Sales]]</f>
        <v>0.33999687297581022</v>
      </c>
    </row>
    <row r="14" spans="1:17" ht="18.600000000000001" thickBot="1" x14ac:dyDescent="0.55000000000000004">
      <c r="A14" s="4" t="s">
        <v>25</v>
      </c>
      <c r="B14" s="1" t="s">
        <v>26</v>
      </c>
      <c r="C14" s="1" t="s">
        <v>34</v>
      </c>
      <c r="D14" s="1" t="s">
        <v>12</v>
      </c>
      <c r="E14" s="30">
        <v>1191.58</v>
      </c>
      <c r="F14" s="2">
        <v>14</v>
      </c>
      <c r="G14" s="2">
        <v>0.05</v>
      </c>
      <c r="H14" s="3">
        <v>45406</v>
      </c>
      <c r="I14" s="34">
        <v>452.8</v>
      </c>
      <c r="J14" s="13" t="str">
        <f t="shared" si="0"/>
        <v>Low Discount</v>
      </c>
      <c r="K14" s="42">
        <f t="shared" ca="1" si="1"/>
        <v>46081.614984027779</v>
      </c>
      <c r="L14" s="41" t="str">
        <f>IF(Table1[Sales]&gt;1000,"High purchase","Normal purchase")</f>
        <v>High purchase</v>
      </c>
      <c r="M14" s="48">
        <f>Table1[[#This Row],[Profit]]/Table1[[#This Row],[Sales]]</f>
        <v>0.37999966431125065</v>
      </c>
    </row>
    <row r="15" spans="1:17" ht="18.600000000000001" thickBot="1" x14ac:dyDescent="0.55000000000000004">
      <c r="A15" s="4" t="s">
        <v>40</v>
      </c>
      <c r="B15" s="1" t="s">
        <v>14</v>
      </c>
      <c r="C15" s="1" t="s">
        <v>11</v>
      </c>
      <c r="D15" s="1" t="s">
        <v>27</v>
      </c>
      <c r="E15" s="30">
        <v>822.28</v>
      </c>
      <c r="F15" s="2">
        <v>7</v>
      </c>
      <c r="G15" s="2">
        <v>0.05</v>
      </c>
      <c r="H15" s="3">
        <v>45406</v>
      </c>
      <c r="I15" s="34">
        <v>273.41000000000003</v>
      </c>
      <c r="J15" s="13" t="str">
        <f t="shared" si="0"/>
        <v>Low Discount</v>
      </c>
      <c r="K15" s="42">
        <f t="shared" ca="1" si="1"/>
        <v>46081.614984027779</v>
      </c>
      <c r="L15" s="41" t="str">
        <f>IF(Table1[Sales]&gt;1000,"High purchase","Normal purchase")</f>
        <v>Normal purchase</v>
      </c>
      <c r="M15" s="48">
        <f>Table1[[#This Row],[Profit]]/Table1[[#This Row],[Sales]]</f>
        <v>0.33250231064844094</v>
      </c>
    </row>
    <row r="16" spans="1:17" ht="18.600000000000001" thickBot="1" x14ac:dyDescent="0.55000000000000004">
      <c r="A16" s="4" t="s">
        <v>41</v>
      </c>
      <c r="B16" s="1" t="s">
        <v>42</v>
      </c>
      <c r="C16" s="1" t="s">
        <v>24</v>
      </c>
      <c r="D16" s="1" t="s">
        <v>27</v>
      </c>
      <c r="E16" s="30">
        <v>521.66999999999996</v>
      </c>
      <c r="F16" s="2">
        <v>15</v>
      </c>
      <c r="G16" s="2">
        <v>0.15</v>
      </c>
      <c r="H16" s="3">
        <v>45409</v>
      </c>
      <c r="I16" s="34">
        <v>155.19999999999999</v>
      </c>
      <c r="J16" s="13" t="str">
        <f t="shared" si="0"/>
        <v>Medium Discount</v>
      </c>
      <c r="K16" s="42">
        <f t="shared" ca="1" si="1"/>
        <v>46081.614984027779</v>
      </c>
      <c r="L16" s="41" t="str">
        <f>IF(Table1[Sales]&gt;1000,"High purchase","Normal purchase")</f>
        <v>Normal purchase</v>
      </c>
      <c r="M16" s="48">
        <f>Table1[[#This Row],[Profit]]/Table1[[#This Row],[Sales]]</f>
        <v>0.29750608622309122</v>
      </c>
    </row>
    <row r="17" spans="1:13" ht="18.600000000000001" thickBot="1" x14ac:dyDescent="0.55000000000000004">
      <c r="A17" s="4" t="s">
        <v>19</v>
      </c>
      <c r="B17" s="1" t="s">
        <v>43</v>
      </c>
      <c r="C17" s="1" t="s">
        <v>20</v>
      </c>
      <c r="D17" s="1" t="s">
        <v>21</v>
      </c>
      <c r="E17" s="30">
        <v>1502.93</v>
      </c>
      <c r="F17" s="2">
        <v>14</v>
      </c>
      <c r="G17" s="2">
        <v>0.2</v>
      </c>
      <c r="H17" s="3">
        <v>45410</v>
      </c>
      <c r="I17" s="34">
        <v>300.58999999999997</v>
      </c>
      <c r="J17" s="13" t="str">
        <f t="shared" si="0"/>
        <v>High Discount</v>
      </c>
      <c r="K17" s="42">
        <f t="shared" ca="1" si="1"/>
        <v>46081.614984027779</v>
      </c>
      <c r="L17" s="41" t="str">
        <f>IF(Table1[Sales]&gt;1000,"High purchase","Normal purchase")</f>
        <v>High purchase</v>
      </c>
      <c r="M17" s="48">
        <f>Table1[[#This Row],[Profit]]/Table1[[#This Row],[Sales]]</f>
        <v>0.20000266146793261</v>
      </c>
    </row>
    <row r="18" spans="1:13" ht="18.600000000000001" thickBot="1" x14ac:dyDescent="0.55000000000000004">
      <c r="A18" s="4" t="s">
        <v>44</v>
      </c>
      <c r="B18" s="1" t="s">
        <v>14</v>
      </c>
      <c r="C18" s="1" t="s">
        <v>20</v>
      </c>
      <c r="D18" s="1" t="s">
        <v>12</v>
      </c>
      <c r="E18" s="30">
        <v>877.58</v>
      </c>
      <c r="F18" s="2">
        <v>10</v>
      </c>
      <c r="G18" s="2">
        <v>0.15</v>
      </c>
      <c r="H18" s="3">
        <v>45411</v>
      </c>
      <c r="I18" s="34">
        <v>298.38</v>
      </c>
      <c r="J18" s="13" t="str">
        <f t="shared" si="0"/>
        <v>Medium Discount</v>
      </c>
      <c r="K18" s="42">
        <f t="shared" ca="1" si="1"/>
        <v>46081.614984027779</v>
      </c>
      <c r="L18" s="41" t="str">
        <f>IF(Table1[Sales]&gt;1000,"High purchase","Normal purchase")</f>
        <v>Normal purchase</v>
      </c>
      <c r="M18" s="48">
        <f>Table1[[#This Row],[Profit]]/Table1[[#This Row],[Sales]]</f>
        <v>0.34000319059231066</v>
      </c>
    </row>
    <row r="19" spans="1:13" ht="18.600000000000001" thickBot="1" x14ac:dyDescent="0.55000000000000004">
      <c r="A19" s="4" t="s">
        <v>28</v>
      </c>
      <c r="B19" s="1" t="s">
        <v>45</v>
      </c>
      <c r="C19" s="1" t="s">
        <v>11</v>
      </c>
      <c r="D19" s="1" t="s">
        <v>12</v>
      </c>
      <c r="E19" s="30">
        <v>636.70000000000005</v>
      </c>
      <c r="F19" s="2">
        <v>4</v>
      </c>
      <c r="G19" s="2">
        <v>0.2</v>
      </c>
      <c r="H19" s="3">
        <v>45411</v>
      </c>
      <c r="I19" s="34">
        <v>203.74</v>
      </c>
      <c r="J19" s="13" t="str">
        <f t="shared" si="0"/>
        <v>High Discount</v>
      </c>
      <c r="K19" s="42">
        <f t="shared" ca="1" si="1"/>
        <v>46081.614984027779</v>
      </c>
      <c r="L19" s="41" t="str">
        <f>IF(Table1[Sales]&gt;1000,"High purchase","Normal purchase")</f>
        <v>Normal purchase</v>
      </c>
      <c r="M19" s="48">
        <f>Table1[[#This Row],[Profit]]/Table1[[#This Row],[Sales]]</f>
        <v>0.31999371760640805</v>
      </c>
    </row>
    <row r="20" spans="1:13" ht="18.600000000000001" thickBot="1" x14ac:dyDescent="0.55000000000000004">
      <c r="A20" s="4" t="s">
        <v>46</v>
      </c>
      <c r="B20" s="1" t="s">
        <v>47</v>
      </c>
      <c r="C20" s="1" t="s">
        <v>11</v>
      </c>
      <c r="D20" s="1" t="s">
        <v>12</v>
      </c>
      <c r="E20" s="30">
        <v>1506.14</v>
      </c>
      <c r="F20" s="2">
        <v>13</v>
      </c>
      <c r="G20" s="2">
        <v>0.2</v>
      </c>
      <c r="H20" s="3">
        <v>45412</v>
      </c>
      <c r="I20" s="34">
        <v>481.96</v>
      </c>
      <c r="J20" s="13" t="str">
        <f t="shared" si="0"/>
        <v>High Discount</v>
      </c>
      <c r="K20" s="42">
        <f t="shared" ca="1" si="1"/>
        <v>46081.614984027779</v>
      </c>
      <c r="L20" s="41" t="str">
        <f>IF(Table1[Sales]&gt;1000,"High purchase","Normal purchase")</f>
        <v>High purchase</v>
      </c>
      <c r="M20" s="48">
        <f>Table1[[#This Row],[Profit]]/Table1[[#This Row],[Sales]]</f>
        <v>0.319996813045268</v>
      </c>
    </row>
    <row r="21" spans="1:13" ht="18.600000000000001" thickBot="1" x14ac:dyDescent="0.55000000000000004">
      <c r="A21" s="4" t="s">
        <v>30</v>
      </c>
      <c r="B21" s="1" t="s">
        <v>31</v>
      </c>
      <c r="C21" s="1" t="s">
        <v>34</v>
      </c>
      <c r="D21" s="1" t="s">
        <v>21</v>
      </c>
      <c r="E21" s="30">
        <v>645.02</v>
      </c>
      <c r="F21" s="2">
        <v>4</v>
      </c>
      <c r="G21" s="2">
        <v>0</v>
      </c>
      <c r="H21" s="3">
        <v>45414</v>
      </c>
      <c r="I21" s="34">
        <v>161.26</v>
      </c>
      <c r="J21" s="13" t="str">
        <f t="shared" si="0"/>
        <v>No Discount</v>
      </c>
      <c r="K21" s="42">
        <f t="shared" ca="1" si="1"/>
        <v>46081.614984027779</v>
      </c>
      <c r="L21" s="41" t="str">
        <f>IF(Table1[Sales]&gt;1000,"High purchase","Normal purchase")</f>
        <v>Normal purchase</v>
      </c>
      <c r="M21" s="48">
        <f>Table1[[#This Row],[Profit]]/Table1[[#This Row],[Sales]]</f>
        <v>0.25000775169762179</v>
      </c>
    </row>
    <row r="22" spans="1:13" ht="18.600000000000001" thickBot="1" x14ac:dyDescent="0.55000000000000004">
      <c r="A22" s="4" t="s">
        <v>25</v>
      </c>
      <c r="B22" s="1" t="s">
        <v>48</v>
      </c>
      <c r="C22" s="1" t="s">
        <v>20</v>
      </c>
      <c r="D22" s="1" t="s">
        <v>15</v>
      </c>
      <c r="E22" s="30">
        <v>953.3</v>
      </c>
      <c r="F22" s="2">
        <v>11</v>
      </c>
      <c r="G22" s="2">
        <v>0</v>
      </c>
      <c r="H22" s="3">
        <v>45415</v>
      </c>
      <c r="I22" s="34">
        <v>476.65</v>
      </c>
      <c r="J22" s="13" t="str">
        <f t="shared" si="0"/>
        <v>No Discount</v>
      </c>
      <c r="K22" s="42">
        <f t="shared" ca="1" si="1"/>
        <v>46081.614984027779</v>
      </c>
      <c r="L22" s="41" t="str">
        <f>IF(Table1[Sales]&gt;1000,"High purchase","Normal purchase")</f>
        <v>Normal purchase</v>
      </c>
      <c r="M22" s="48">
        <f>Table1[[#This Row],[Profit]]/Table1[[#This Row],[Sales]]</f>
        <v>0.5</v>
      </c>
    </row>
    <row r="23" spans="1:13" ht="18.600000000000001" thickBot="1" x14ac:dyDescent="0.55000000000000004">
      <c r="A23" s="4" t="s">
        <v>49</v>
      </c>
      <c r="B23" s="1" t="s">
        <v>14</v>
      </c>
      <c r="C23" s="1" t="s">
        <v>24</v>
      </c>
      <c r="D23" s="1" t="s">
        <v>21</v>
      </c>
      <c r="E23" s="30">
        <v>388.56</v>
      </c>
      <c r="F23" s="2">
        <v>14</v>
      </c>
      <c r="G23" s="2">
        <v>0.15</v>
      </c>
      <c r="H23" s="3">
        <v>45416</v>
      </c>
      <c r="I23" s="34">
        <v>82.57</v>
      </c>
      <c r="J23" s="13" t="str">
        <f t="shared" si="0"/>
        <v>Medium Discount</v>
      </c>
      <c r="K23" s="42">
        <f t="shared" ca="1" si="1"/>
        <v>46081.614984027779</v>
      </c>
      <c r="L23" s="41" t="str">
        <f>IF(Table1[Sales]&gt;1000,"High purchase","Normal purchase")</f>
        <v>Normal purchase</v>
      </c>
      <c r="M23" s="48">
        <f>Table1[[#This Row],[Profit]]/Table1[[#This Row],[Sales]]</f>
        <v>0.21250257360510602</v>
      </c>
    </row>
    <row r="24" spans="1:13" ht="18.600000000000001" thickBot="1" x14ac:dyDescent="0.55000000000000004">
      <c r="A24" s="4" t="s">
        <v>9</v>
      </c>
      <c r="B24" s="1" t="s">
        <v>31</v>
      </c>
      <c r="C24" s="1" t="s">
        <v>11</v>
      </c>
      <c r="D24" s="1" t="s">
        <v>12</v>
      </c>
      <c r="E24" s="30">
        <v>743.17</v>
      </c>
      <c r="F24" s="2">
        <v>9</v>
      </c>
      <c r="G24" s="2">
        <v>0</v>
      </c>
      <c r="H24" s="3">
        <v>45416</v>
      </c>
      <c r="I24" s="34">
        <v>297.27</v>
      </c>
      <c r="J24" s="13" t="str">
        <f t="shared" si="0"/>
        <v>No Discount</v>
      </c>
      <c r="K24" s="42">
        <f t="shared" ca="1" si="1"/>
        <v>46081.614984027779</v>
      </c>
      <c r="L24" s="41" t="str">
        <f>IF(Table1[Sales]&gt;1000,"High purchase","Normal purchase")</f>
        <v>Normal purchase</v>
      </c>
      <c r="M24" s="48">
        <f>Table1[[#This Row],[Profit]]/Table1[[#This Row],[Sales]]</f>
        <v>0.40000269117429388</v>
      </c>
    </row>
    <row r="25" spans="1:13" ht="18.600000000000001" thickBot="1" x14ac:dyDescent="0.55000000000000004">
      <c r="A25" s="4" t="s">
        <v>40</v>
      </c>
      <c r="B25" s="1" t="s">
        <v>31</v>
      </c>
      <c r="C25" s="1" t="s">
        <v>34</v>
      </c>
      <c r="D25" s="1" t="s">
        <v>21</v>
      </c>
      <c r="E25" s="30">
        <v>706.37</v>
      </c>
      <c r="F25" s="2">
        <v>6</v>
      </c>
      <c r="G25" s="2">
        <v>0</v>
      </c>
      <c r="H25" s="3">
        <v>45416</v>
      </c>
      <c r="I25" s="34">
        <v>176.59</v>
      </c>
      <c r="J25" s="13" t="str">
        <f t="shared" si="0"/>
        <v>No Discount</v>
      </c>
      <c r="K25" s="42">
        <f t="shared" ca="1" si="1"/>
        <v>46081.614984027779</v>
      </c>
      <c r="L25" s="41" t="str">
        <f>IF(Table1[Sales]&gt;1000,"High purchase","Normal purchase")</f>
        <v>Normal purchase</v>
      </c>
      <c r="M25" s="48">
        <f>Table1[[#This Row],[Profit]]/Table1[[#This Row],[Sales]]</f>
        <v>0.24999646077834564</v>
      </c>
    </row>
    <row r="26" spans="1:13" ht="18.600000000000001" thickBot="1" x14ac:dyDescent="0.55000000000000004">
      <c r="A26" s="4" t="s">
        <v>13</v>
      </c>
      <c r="B26" s="1" t="s">
        <v>31</v>
      </c>
      <c r="C26" s="1" t="s">
        <v>34</v>
      </c>
      <c r="D26" s="1" t="s">
        <v>39</v>
      </c>
      <c r="E26" s="30">
        <v>925.31</v>
      </c>
      <c r="F26" s="2">
        <v>8</v>
      </c>
      <c r="G26" s="2">
        <v>0.1</v>
      </c>
      <c r="H26" s="3">
        <v>45418</v>
      </c>
      <c r="I26" s="34">
        <v>374.75</v>
      </c>
      <c r="J26" s="13" t="str">
        <f t="shared" si="0"/>
        <v>Low Discount</v>
      </c>
      <c r="K26" s="42">
        <f t="shared" ca="1" si="1"/>
        <v>46081.614984027779</v>
      </c>
      <c r="L26" s="41" t="str">
        <f>IF(Table1[Sales]&gt;1000,"High purchase","Normal purchase")</f>
        <v>Normal purchase</v>
      </c>
      <c r="M26" s="48">
        <f>Table1[[#This Row],[Profit]]/Table1[[#This Row],[Sales]]</f>
        <v>0.40499940560460823</v>
      </c>
    </row>
    <row r="27" spans="1:13" ht="18.600000000000001" thickBot="1" x14ac:dyDescent="0.55000000000000004">
      <c r="A27" s="4" t="s">
        <v>35</v>
      </c>
      <c r="B27" s="1" t="s">
        <v>50</v>
      </c>
      <c r="C27" s="1" t="s">
        <v>20</v>
      </c>
      <c r="D27" s="1" t="s">
        <v>21</v>
      </c>
      <c r="E27" s="30">
        <v>1173.1199999999999</v>
      </c>
      <c r="F27" s="2">
        <v>18</v>
      </c>
      <c r="G27" s="2">
        <v>0</v>
      </c>
      <c r="H27" s="3">
        <v>45418</v>
      </c>
      <c r="I27" s="34">
        <v>293.27999999999997</v>
      </c>
      <c r="J27" s="13" t="str">
        <f t="shared" si="0"/>
        <v>No Discount</v>
      </c>
      <c r="K27" s="42">
        <f t="shared" ca="1" si="1"/>
        <v>46081.614984027779</v>
      </c>
      <c r="L27" s="41" t="str">
        <f>IF(Table1[Sales]&gt;1000,"High purchase","Normal purchase")</f>
        <v>High purchase</v>
      </c>
      <c r="M27" s="48">
        <f>Table1[[#This Row],[Profit]]/Table1[[#This Row],[Sales]]</f>
        <v>0.25</v>
      </c>
    </row>
    <row r="28" spans="1:13" ht="18.600000000000001" thickBot="1" x14ac:dyDescent="0.55000000000000004">
      <c r="A28" s="4" t="s">
        <v>22</v>
      </c>
      <c r="B28" s="1" t="s">
        <v>51</v>
      </c>
      <c r="C28" s="1" t="s">
        <v>24</v>
      </c>
      <c r="D28" s="1" t="s">
        <v>27</v>
      </c>
      <c r="E28" s="30">
        <v>675.54</v>
      </c>
      <c r="F28" s="2">
        <v>17</v>
      </c>
      <c r="G28" s="2">
        <v>0</v>
      </c>
      <c r="H28" s="3">
        <v>45420</v>
      </c>
      <c r="I28" s="34">
        <v>236.44</v>
      </c>
      <c r="J28" s="13" t="str">
        <f t="shared" si="0"/>
        <v>No Discount</v>
      </c>
      <c r="K28" s="42">
        <f t="shared" ca="1" si="1"/>
        <v>46081.614984027779</v>
      </c>
      <c r="L28" s="41" t="str">
        <f>IF(Table1[Sales]&gt;1000,"High purchase","Normal purchase")</f>
        <v>Normal purchase</v>
      </c>
      <c r="M28" s="48">
        <f>Table1[[#This Row],[Profit]]/Table1[[#This Row],[Sales]]</f>
        <v>0.35000148029724371</v>
      </c>
    </row>
    <row r="29" spans="1:13" ht="18.600000000000001" thickBot="1" x14ac:dyDescent="0.55000000000000004">
      <c r="A29" s="4" t="s">
        <v>25</v>
      </c>
      <c r="B29" s="1" t="s">
        <v>14</v>
      </c>
      <c r="C29" s="1" t="s">
        <v>34</v>
      </c>
      <c r="D29" s="1" t="s">
        <v>12</v>
      </c>
      <c r="E29" s="30">
        <v>939.09</v>
      </c>
      <c r="F29" s="2">
        <v>2</v>
      </c>
      <c r="G29" s="2">
        <v>0.05</v>
      </c>
      <c r="H29" s="3">
        <v>45422</v>
      </c>
      <c r="I29" s="34">
        <v>356.85</v>
      </c>
      <c r="J29" s="13" t="str">
        <f t="shared" si="0"/>
        <v>Low Discount</v>
      </c>
      <c r="K29" s="42">
        <f t="shared" ca="1" si="1"/>
        <v>46081.614984027779</v>
      </c>
      <c r="L29" s="41" t="str">
        <f>IF(Table1[Sales]&gt;1000,"High purchase","Normal purchase")</f>
        <v>Normal purchase</v>
      </c>
      <c r="M29" s="48">
        <f>Table1[[#This Row],[Profit]]/Table1[[#This Row],[Sales]]</f>
        <v>0.37999552758521549</v>
      </c>
    </row>
    <row r="30" spans="1:13" ht="18.600000000000001" thickBot="1" x14ac:dyDescent="0.55000000000000004">
      <c r="A30" s="4" t="s">
        <v>52</v>
      </c>
      <c r="B30" s="1" t="s">
        <v>53</v>
      </c>
      <c r="C30" s="1" t="s">
        <v>18</v>
      </c>
      <c r="D30" s="1" t="s">
        <v>39</v>
      </c>
      <c r="E30" s="30">
        <v>983.34</v>
      </c>
      <c r="F30" s="2">
        <v>19</v>
      </c>
      <c r="G30" s="2">
        <v>0.1</v>
      </c>
      <c r="H30" s="3">
        <v>45426</v>
      </c>
      <c r="I30" s="34">
        <v>398.25</v>
      </c>
      <c r="J30" s="13" t="str">
        <f t="shared" si="0"/>
        <v>Low Discount</v>
      </c>
      <c r="K30" s="42">
        <f t="shared" ca="1" si="1"/>
        <v>46081.614984027779</v>
      </c>
      <c r="L30" s="41" t="str">
        <f>IF(Table1[Sales]&gt;1000,"High purchase","Normal purchase")</f>
        <v>Normal purchase</v>
      </c>
      <c r="M30" s="48">
        <f>Table1[[#This Row],[Profit]]/Table1[[#This Row],[Sales]]</f>
        <v>0.40499725425590333</v>
      </c>
    </row>
    <row r="31" spans="1:13" ht="18.600000000000001" thickBot="1" x14ac:dyDescent="0.55000000000000004">
      <c r="A31" s="4" t="s">
        <v>52</v>
      </c>
      <c r="B31" s="1" t="s">
        <v>23</v>
      </c>
      <c r="C31" s="1" t="s">
        <v>20</v>
      </c>
      <c r="D31" s="1" t="s">
        <v>21</v>
      </c>
      <c r="E31" s="30">
        <v>801.21</v>
      </c>
      <c r="F31" s="2">
        <v>3</v>
      </c>
      <c r="G31" s="2">
        <v>0.2</v>
      </c>
      <c r="H31" s="3">
        <v>45426</v>
      </c>
      <c r="I31" s="34">
        <v>160.24</v>
      </c>
      <c r="J31" s="13" t="str">
        <f t="shared" si="0"/>
        <v>High Discount</v>
      </c>
      <c r="K31" s="42">
        <f t="shared" ca="1" si="1"/>
        <v>46081.614984027779</v>
      </c>
      <c r="L31" s="41" t="str">
        <f>IF(Table1[Sales]&gt;1000,"High purchase","Normal purchase")</f>
        <v>Normal purchase</v>
      </c>
      <c r="M31" s="48">
        <f>Table1[[#This Row],[Profit]]/Table1[[#This Row],[Sales]]</f>
        <v>0.19999750377553949</v>
      </c>
    </row>
    <row r="32" spans="1:13" ht="18.600000000000001" thickBot="1" x14ac:dyDescent="0.55000000000000004">
      <c r="A32" s="4" t="s">
        <v>54</v>
      </c>
      <c r="B32" s="1" t="s">
        <v>55</v>
      </c>
      <c r="C32" s="1" t="s">
        <v>24</v>
      </c>
      <c r="D32" s="1" t="s">
        <v>21</v>
      </c>
      <c r="E32" s="30">
        <v>1450.71</v>
      </c>
      <c r="F32" s="2">
        <v>5</v>
      </c>
      <c r="G32" s="2">
        <v>0.1</v>
      </c>
      <c r="H32" s="3">
        <v>45427</v>
      </c>
      <c r="I32" s="34">
        <v>326.41000000000003</v>
      </c>
      <c r="J32" s="13" t="str">
        <f t="shared" si="0"/>
        <v>Low Discount</v>
      </c>
      <c r="K32" s="42">
        <f t="shared" ca="1" si="1"/>
        <v>46081.614984027779</v>
      </c>
      <c r="L32" s="41" t="str">
        <f>IF(Table1[Sales]&gt;1000,"High purchase","Normal purchase")</f>
        <v>High purchase</v>
      </c>
      <c r="M32" s="48">
        <f>Table1[[#This Row],[Profit]]/Table1[[#This Row],[Sales]]</f>
        <v>0.22500017232941114</v>
      </c>
    </row>
    <row r="33" spans="1:13" ht="18.600000000000001" thickBot="1" x14ac:dyDescent="0.55000000000000004">
      <c r="A33" s="4" t="s">
        <v>49</v>
      </c>
      <c r="B33" s="1" t="s">
        <v>56</v>
      </c>
      <c r="C33" s="1" t="s">
        <v>34</v>
      </c>
      <c r="D33" s="1" t="s">
        <v>12</v>
      </c>
      <c r="E33" s="30">
        <v>1023.21</v>
      </c>
      <c r="F33" s="2">
        <v>18</v>
      </c>
      <c r="G33" s="2">
        <v>0.05</v>
      </c>
      <c r="H33" s="3">
        <v>45428</v>
      </c>
      <c r="I33" s="34">
        <v>388.82</v>
      </c>
      <c r="J33" s="13" t="str">
        <f t="shared" si="0"/>
        <v>Low Discount</v>
      </c>
      <c r="K33" s="42">
        <f t="shared" ca="1" si="1"/>
        <v>46081.614984027779</v>
      </c>
      <c r="L33" s="41" t="str">
        <f>IF(Table1[Sales]&gt;1000,"High purchase","Normal purchase")</f>
        <v>High purchase</v>
      </c>
      <c r="M33" s="48">
        <f>Table1[[#This Row],[Profit]]/Table1[[#This Row],[Sales]]</f>
        <v>0.38000019546329689</v>
      </c>
    </row>
    <row r="34" spans="1:13" ht="18.600000000000001" thickBot="1" x14ac:dyDescent="0.55000000000000004">
      <c r="A34" s="4" t="s">
        <v>28</v>
      </c>
      <c r="B34" s="1" t="s">
        <v>47</v>
      </c>
      <c r="C34" s="1" t="s">
        <v>11</v>
      </c>
      <c r="D34" s="1" t="s">
        <v>27</v>
      </c>
      <c r="E34" s="30">
        <v>853.72</v>
      </c>
      <c r="F34" s="2">
        <v>5</v>
      </c>
      <c r="G34" s="2">
        <v>0.15</v>
      </c>
      <c r="H34" s="3">
        <v>45428</v>
      </c>
      <c r="I34" s="34">
        <v>253.98</v>
      </c>
      <c r="J34" s="13" t="str">
        <f t="shared" ref="J34:J65" si="2">_xlfn.IFS(G34=0,"No Discount", G34&lt;=0.1,"Low Discount",G34&lt;=0.15,"Medium Discount",G34&gt;0.15,"High Discount")</f>
        <v>Medium Discount</v>
      </c>
      <c r="K34" s="42">
        <f t="shared" ref="K34:K65" ca="1" si="3">NOW()</f>
        <v>46081.614984027779</v>
      </c>
      <c r="L34" s="41" t="str">
        <f>IF(Table1[Sales]&gt;1000,"High purchase","Normal purchase")</f>
        <v>Normal purchase</v>
      </c>
      <c r="M34" s="48">
        <f>Table1[[#This Row],[Profit]]/Table1[[#This Row],[Sales]]</f>
        <v>0.29749800871480109</v>
      </c>
    </row>
    <row r="35" spans="1:13" ht="18.600000000000001" thickBot="1" x14ac:dyDescent="0.55000000000000004">
      <c r="A35" s="4" t="s">
        <v>57</v>
      </c>
      <c r="B35" s="1" t="s">
        <v>43</v>
      </c>
      <c r="C35" s="1" t="s">
        <v>20</v>
      </c>
      <c r="D35" s="1" t="s">
        <v>21</v>
      </c>
      <c r="E35" s="30">
        <v>967.89</v>
      </c>
      <c r="F35" s="2">
        <v>10</v>
      </c>
      <c r="G35" s="2">
        <v>0.1</v>
      </c>
      <c r="H35" s="3">
        <v>45429</v>
      </c>
      <c r="I35" s="34">
        <v>217.78</v>
      </c>
      <c r="J35" s="13" t="str">
        <f t="shared" si="2"/>
        <v>Low Discount</v>
      </c>
      <c r="K35" s="42">
        <f t="shared" ca="1" si="3"/>
        <v>46081.614984027779</v>
      </c>
      <c r="L35" s="41" t="str">
        <f>IF(Table1[Sales]&gt;1000,"High purchase","Normal purchase")</f>
        <v>Normal purchase</v>
      </c>
      <c r="M35" s="48">
        <f>Table1[[#This Row],[Profit]]/Table1[[#This Row],[Sales]]</f>
        <v>0.22500490758247321</v>
      </c>
    </row>
    <row r="36" spans="1:13" ht="18.600000000000001" thickBot="1" x14ac:dyDescent="0.55000000000000004">
      <c r="A36" s="4" t="s">
        <v>58</v>
      </c>
      <c r="B36" s="1" t="s">
        <v>53</v>
      </c>
      <c r="C36" s="1" t="s">
        <v>24</v>
      </c>
      <c r="D36" s="1" t="s">
        <v>39</v>
      </c>
      <c r="E36" s="30">
        <v>1200.9000000000001</v>
      </c>
      <c r="F36" s="2">
        <v>14</v>
      </c>
      <c r="G36" s="2">
        <v>0.05</v>
      </c>
      <c r="H36" s="3">
        <v>45429</v>
      </c>
      <c r="I36" s="34">
        <v>513.38</v>
      </c>
      <c r="J36" s="13" t="str">
        <f t="shared" si="2"/>
        <v>Low Discount</v>
      </c>
      <c r="K36" s="42">
        <f t="shared" ca="1" si="3"/>
        <v>46081.614984027779</v>
      </c>
      <c r="L36" s="41" t="str">
        <f>IF(Table1[Sales]&gt;1000,"High purchase","Normal purchase")</f>
        <v>High purchase</v>
      </c>
      <c r="M36" s="48">
        <f>Table1[[#This Row],[Profit]]/Table1[[#This Row],[Sales]]</f>
        <v>0.42749604463319174</v>
      </c>
    </row>
    <row r="37" spans="1:13" ht="18.600000000000001" thickBot="1" x14ac:dyDescent="0.55000000000000004">
      <c r="A37" s="4" t="s">
        <v>13</v>
      </c>
      <c r="B37" s="1" t="s">
        <v>26</v>
      </c>
      <c r="C37" s="1" t="s">
        <v>11</v>
      </c>
      <c r="D37" s="1" t="s">
        <v>12</v>
      </c>
      <c r="E37" s="30">
        <v>472.38</v>
      </c>
      <c r="F37" s="2">
        <v>12</v>
      </c>
      <c r="G37" s="2">
        <v>0.2</v>
      </c>
      <c r="H37" s="3">
        <v>45429</v>
      </c>
      <c r="I37" s="34">
        <v>151.16</v>
      </c>
      <c r="J37" s="13" t="str">
        <f t="shared" si="2"/>
        <v>High Discount</v>
      </c>
      <c r="K37" s="42">
        <f t="shared" ca="1" si="3"/>
        <v>46081.614984027779</v>
      </c>
      <c r="L37" s="41" t="str">
        <f>IF(Table1[Sales]&gt;1000,"High purchase","Normal purchase")</f>
        <v>Normal purchase</v>
      </c>
      <c r="M37" s="48">
        <f>Table1[[#This Row],[Profit]]/Table1[[#This Row],[Sales]]</f>
        <v>0.31999661289639697</v>
      </c>
    </row>
    <row r="38" spans="1:13" ht="18.600000000000001" thickBot="1" x14ac:dyDescent="0.55000000000000004">
      <c r="A38" s="4" t="s">
        <v>9</v>
      </c>
      <c r="B38" s="1" t="s">
        <v>55</v>
      </c>
      <c r="C38" s="1" t="s">
        <v>18</v>
      </c>
      <c r="D38" s="1" t="s">
        <v>39</v>
      </c>
      <c r="E38" s="30">
        <v>840.92</v>
      </c>
      <c r="F38" s="2">
        <v>9</v>
      </c>
      <c r="G38" s="2">
        <v>0.05</v>
      </c>
      <c r="H38" s="3">
        <v>45429</v>
      </c>
      <c r="I38" s="34">
        <v>359.49</v>
      </c>
      <c r="J38" s="13" t="str">
        <f t="shared" si="2"/>
        <v>Low Discount</v>
      </c>
      <c r="K38" s="42">
        <f t="shared" ca="1" si="3"/>
        <v>46081.614984027779</v>
      </c>
      <c r="L38" s="41" t="str">
        <f>IF(Table1[Sales]&gt;1000,"High purchase","Normal purchase")</f>
        <v>Normal purchase</v>
      </c>
      <c r="M38" s="48">
        <f>Table1[[#This Row],[Profit]]/Table1[[#This Row],[Sales]]</f>
        <v>0.42749607572658521</v>
      </c>
    </row>
    <row r="39" spans="1:13" ht="18.600000000000001" thickBot="1" x14ac:dyDescent="0.55000000000000004">
      <c r="A39" s="4" t="s">
        <v>52</v>
      </c>
      <c r="B39" s="1" t="s">
        <v>48</v>
      </c>
      <c r="C39" s="1" t="s">
        <v>34</v>
      </c>
      <c r="D39" s="1" t="s">
        <v>27</v>
      </c>
      <c r="E39" s="30">
        <v>1410.06</v>
      </c>
      <c r="F39" s="2">
        <v>11</v>
      </c>
      <c r="G39" s="2">
        <v>0.05</v>
      </c>
      <c r="H39" s="3">
        <v>45434</v>
      </c>
      <c r="I39" s="34">
        <v>468.84</v>
      </c>
      <c r="J39" s="13" t="str">
        <f t="shared" si="2"/>
        <v>Low Discount</v>
      </c>
      <c r="K39" s="42">
        <f t="shared" ca="1" si="3"/>
        <v>46081.614984027779</v>
      </c>
      <c r="L39" s="41" t="str">
        <f>IF(Table1[Sales]&gt;1000,"High purchase","Normal purchase")</f>
        <v>High purchase</v>
      </c>
      <c r="M39" s="48">
        <f>Table1[[#This Row],[Profit]]/Table1[[#This Row],[Sales]]</f>
        <v>0.33249648951108463</v>
      </c>
    </row>
    <row r="40" spans="1:13" ht="18.600000000000001" thickBot="1" x14ac:dyDescent="0.55000000000000004">
      <c r="A40" s="4" t="s">
        <v>44</v>
      </c>
      <c r="B40" s="1" t="s">
        <v>59</v>
      </c>
      <c r="C40" s="1" t="s">
        <v>34</v>
      </c>
      <c r="D40" s="1" t="s">
        <v>27</v>
      </c>
      <c r="E40" s="30">
        <v>773.09</v>
      </c>
      <c r="F40" s="2">
        <v>13</v>
      </c>
      <c r="G40" s="2">
        <v>0.15</v>
      </c>
      <c r="H40" s="3">
        <v>45434</v>
      </c>
      <c r="I40" s="34">
        <v>229.99</v>
      </c>
      <c r="J40" s="13" t="str">
        <f t="shared" si="2"/>
        <v>Medium Discount</v>
      </c>
      <c r="K40" s="42">
        <f t="shared" ca="1" si="3"/>
        <v>46081.614984027779</v>
      </c>
      <c r="L40" s="41" t="str">
        <f>IF(Table1[Sales]&gt;1000,"High purchase","Normal purchase")</f>
        <v>Normal purchase</v>
      </c>
      <c r="M40" s="48">
        <f>Table1[[#This Row],[Profit]]/Table1[[#This Row],[Sales]]</f>
        <v>0.29749447024279191</v>
      </c>
    </row>
    <row r="41" spans="1:13" ht="18.600000000000001" thickBot="1" x14ac:dyDescent="0.55000000000000004">
      <c r="A41" s="4" t="s">
        <v>60</v>
      </c>
      <c r="B41" s="1" t="s">
        <v>61</v>
      </c>
      <c r="C41" s="1" t="s">
        <v>18</v>
      </c>
      <c r="D41" s="1" t="s">
        <v>12</v>
      </c>
      <c r="E41" s="30">
        <v>580.42999999999995</v>
      </c>
      <c r="F41" s="2">
        <v>19</v>
      </c>
      <c r="G41" s="2">
        <v>0.15</v>
      </c>
      <c r="H41" s="3">
        <v>45435</v>
      </c>
      <c r="I41" s="34">
        <v>197.35</v>
      </c>
      <c r="J41" s="13" t="str">
        <f t="shared" si="2"/>
        <v>Medium Discount</v>
      </c>
      <c r="K41" s="42">
        <f t="shared" ca="1" si="3"/>
        <v>46081.614984027779</v>
      </c>
      <c r="L41" s="41" t="str">
        <f>IF(Table1[Sales]&gt;1000,"High purchase","Normal purchase")</f>
        <v>Normal purchase</v>
      </c>
      <c r="M41" s="48">
        <f>Table1[[#This Row],[Profit]]/Table1[[#This Row],[Sales]]</f>
        <v>0.3400065468704237</v>
      </c>
    </row>
    <row r="42" spans="1:13" ht="18.600000000000001" thickBot="1" x14ac:dyDescent="0.55000000000000004">
      <c r="A42" s="4" t="s">
        <v>19</v>
      </c>
      <c r="B42" s="1" t="s">
        <v>42</v>
      </c>
      <c r="C42" s="1" t="s">
        <v>20</v>
      </c>
      <c r="D42" s="1" t="s">
        <v>12</v>
      </c>
      <c r="E42" s="30">
        <v>1151.21</v>
      </c>
      <c r="F42" s="2">
        <v>15</v>
      </c>
      <c r="G42" s="2">
        <v>0.1</v>
      </c>
      <c r="H42" s="3">
        <v>45445</v>
      </c>
      <c r="I42" s="34">
        <v>414.44</v>
      </c>
      <c r="J42" s="13" t="str">
        <f t="shared" si="2"/>
        <v>Low Discount</v>
      </c>
      <c r="K42" s="42">
        <f t="shared" ca="1" si="3"/>
        <v>46081.614984027779</v>
      </c>
      <c r="L42" s="41" t="str">
        <f>IF(Table1[Sales]&gt;1000,"High purchase","Normal purchase")</f>
        <v>High purchase</v>
      </c>
      <c r="M42" s="48">
        <f>Table1[[#This Row],[Profit]]/Table1[[#This Row],[Sales]]</f>
        <v>0.36000382206547893</v>
      </c>
    </row>
    <row r="43" spans="1:13" ht="18.600000000000001" thickBot="1" x14ac:dyDescent="0.55000000000000004">
      <c r="A43" s="4" t="s">
        <v>52</v>
      </c>
      <c r="B43" s="1" t="s">
        <v>23</v>
      </c>
      <c r="C43" s="1" t="s">
        <v>34</v>
      </c>
      <c r="D43" s="1" t="s">
        <v>39</v>
      </c>
      <c r="E43" s="30">
        <v>1025.98</v>
      </c>
      <c r="F43" s="2">
        <v>5</v>
      </c>
      <c r="G43" s="2">
        <v>0.2</v>
      </c>
      <c r="H43" s="3">
        <v>45447</v>
      </c>
      <c r="I43" s="34">
        <v>369.35</v>
      </c>
      <c r="J43" s="13" t="str">
        <f t="shared" si="2"/>
        <v>High Discount</v>
      </c>
      <c r="K43" s="42">
        <f t="shared" ca="1" si="3"/>
        <v>46081.614984027779</v>
      </c>
      <c r="L43" s="41" t="str">
        <f>IF(Table1[Sales]&gt;1000,"High purchase","Normal purchase")</f>
        <v>High purchase</v>
      </c>
      <c r="M43" s="48">
        <f>Table1[[#This Row],[Profit]]/Table1[[#This Row],[Sales]]</f>
        <v>0.35999727090196693</v>
      </c>
    </row>
    <row r="44" spans="1:13" ht="18.600000000000001" thickBot="1" x14ac:dyDescent="0.55000000000000004">
      <c r="A44" s="4" t="s">
        <v>40</v>
      </c>
      <c r="B44" s="1" t="s">
        <v>56</v>
      </c>
      <c r="C44" s="1" t="s">
        <v>18</v>
      </c>
      <c r="D44" s="1" t="s">
        <v>39</v>
      </c>
      <c r="E44" s="30">
        <v>556.41999999999996</v>
      </c>
      <c r="F44" s="2">
        <v>11</v>
      </c>
      <c r="G44" s="2">
        <v>0.15</v>
      </c>
      <c r="H44" s="3">
        <v>45447</v>
      </c>
      <c r="I44" s="34">
        <v>212.83</v>
      </c>
      <c r="J44" s="13" t="str">
        <f t="shared" si="2"/>
        <v>Medium Discount</v>
      </c>
      <c r="K44" s="42">
        <f t="shared" ca="1" si="3"/>
        <v>46081.614984027779</v>
      </c>
      <c r="L44" s="41" t="str">
        <f>IF(Table1[Sales]&gt;1000,"High purchase","Normal purchase")</f>
        <v>Normal purchase</v>
      </c>
      <c r="M44" s="48">
        <f>Table1[[#This Row],[Profit]]/Table1[[#This Row],[Sales]]</f>
        <v>0.38249883181769173</v>
      </c>
    </row>
    <row r="45" spans="1:13" ht="18.600000000000001" thickBot="1" x14ac:dyDescent="0.55000000000000004">
      <c r="A45" s="4" t="s">
        <v>57</v>
      </c>
      <c r="B45" s="1" t="s">
        <v>23</v>
      </c>
      <c r="C45" s="1" t="s">
        <v>34</v>
      </c>
      <c r="D45" s="1" t="s">
        <v>12</v>
      </c>
      <c r="E45" s="30">
        <v>840.85</v>
      </c>
      <c r="F45" s="2">
        <v>19</v>
      </c>
      <c r="G45" s="2">
        <v>0.1</v>
      </c>
      <c r="H45" s="3">
        <v>45448</v>
      </c>
      <c r="I45" s="34">
        <v>302.70999999999998</v>
      </c>
      <c r="J45" s="13" t="str">
        <f t="shared" si="2"/>
        <v>Low Discount</v>
      </c>
      <c r="K45" s="42">
        <f t="shared" ca="1" si="3"/>
        <v>46081.614984027779</v>
      </c>
      <c r="L45" s="41" t="str">
        <f>IF(Table1[Sales]&gt;1000,"High purchase","Normal purchase")</f>
        <v>Normal purchase</v>
      </c>
      <c r="M45" s="48">
        <f>Table1[[#This Row],[Profit]]/Table1[[#This Row],[Sales]]</f>
        <v>0.3600047570910388</v>
      </c>
    </row>
    <row r="46" spans="1:13" ht="18.600000000000001" thickBot="1" x14ac:dyDescent="0.55000000000000004">
      <c r="A46" s="4" t="s">
        <v>30</v>
      </c>
      <c r="B46" s="1" t="s">
        <v>61</v>
      </c>
      <c r="C46" s="1" t="s">
        <v>24</v>
      </c>
      <c r="D46" s="1" t="s">
        <v>27</v>
      </c>
      <c r="E46" s="30">
        <v>1227.25</v>
      </c>
      <c r="F46" s="2">
        <v>12</v>
      </c>
      <c r="G46" s="2">
        <v>0.15</v>
      </c>
      <c r="H46" s="3">
        <v>45448</v>
      </c>
      <c r="I46" s="34">
        <v>365.11</v>
      </c>
      <c r="J46" s="13" t="str">
        <f t="shared" si="2"/>
        <v>Medium Discount</v>
      </c>
      <c r="K46" s="42">
        <f t="shared" ca="1" si="3"/>
        <v>46081.614984027779</v>
      </c>
      <c r="L46" s="41" t="str">
        <f>IF(Table1[Sales]&gt;1000,"High purchase","Normal purchase")</f>
        <v>High purchase</v>
      </c>
      <c r="M46" s="48">
        <f>Table1[[#This Row],[Profit]]/Table1[[#This Row],[Sales]]</f>
        <v>0.2975025463434508</v>
      </c>
    </row>
    <row r="47" spans="1:13" ht="18.600000000000001" thickBot="1" x14ac:dyDescent="0.55000000000000004">
      <c r="A47" s="4" t="s">
        <v>16</v>
      </c>
      <c r="B47" s="1" t="s">
        <v>62</v>
      </c>
      <c r="C47" s="1" t="s">
        <v>34</v>
      </c>
      <c r="D47" s="1" t="s">
        <v>21</v>
      </c>
      <c r="E47" s="30">
        <v>856.7</v>
      </c>
      <c r="F47" s="2">
        <v>2</v>
      </c>
      <c r="G47" s="2">
        <v>0</v>
      </c>
      <c r="H47" s="3">
        <v>45449</v>
      </c>
      <c r="I47" s="34">
        <v>214.18</v>
      </c>
      <c r="J47" s="13" t="str">
        <f t="shared" si="2"/>
        <v>No Discount</v>
      </c>
      <c r="K47" s="42">
        <f t="shared" ca="1" si="3"/>
        <v>46081.614984027779</v>
      </c>
      <c r="L47" s="41" t="str">
        <f>IF(Table1[Sales]&gt;1000,"High purchase","Normal purchase")</f>
        <v>Normal purchase</v>
      </c>
      <c r="M47" s="48">
        <f>Table1[[#This Row],[Profit]]/Table1[[#This Row],[Sales]]</f>
        <v>0.25000583634878021</v>
      </c>
    </row>
    <row r="48" spans="1:13" ht="18.600000000000001" thickBot="1" x14ac:dyDescent="0.55000000000000004">
      <c r="A48" s="4" t="s">
        <v>54</v>
      </c>
      <c r="B48" s="1" t="s">
        <v>56</v>
      </c>
      <c r="C48" s="1" t="s">
        <v>34</v>
      </c>
      <c r="D48" s="1" t="s">
        <v>39</v>
      </c>
      <c r="E48" s="30">
        <v>1225.42</v>
      </c>
      <c r="F48" s="2">
        <v>8</v>
      </c>
      <c r="G48" s="2">
        <v>0.15</v>
      </c>
      <c r="H48" s="3">
        <v>45449</v>
      </c>
      <c r="I48" s="34">
        <v>468.72</v>
      </c>
      <c r="J48" s="13" t="str">
        <f t="shared" si="2"/>
        <v>Medium Discount</v>
      </c>
      <c r="K48" s="42">
        <f t="shared" ca="1" si="3"/>
        <v>46081.614984027779</v>
      </c>
      <c r="L48" s="41" t="str">
        <f>IF(Table1[Sales]&gt;1000,"High purchase","Normal purchase")</f>
        <v>High purchase</v>
      </c>
      <c r="M48" s="48">
        <f>Table1[[#This Row],[Profit]]/Table1[[#This Row],[Sales]]</f>
        <v>0.38249742945275905</v>
      </c>
    </row>
    <row r="49" spans="1:13" ht="18.600000000000001" thickBot="1" x14ac:dyDescent="0.55000000000000004">
      <c r="A49" s="4" t="s">
        <v>63</v>
      </c>
      <c r="B49" s="1" t="s">
        <v>31</v>
      </c>
      <c r="C49" s="1" t="s">
        <v>24</v>
      </c>
      <c r="D49" s="1" t="s">
        <v>39</v>
      </c>
      <c r="E49" s="30">
        <v>1001.57</v>
      </c>
      <c r="F49" s="2">
        <v>12</v>
      </c>
      <c r="G49" s="2">
        <v>0</v>
      </c>
      <c r="H49" s="3">
        <v>45450</v>
      </c>
      <c r="I49" s="34">
        <v>450.71</v>
      </c>
      <c r="J49" s="13" t="str">
        <f t="shared" si="2"/>
        <v>No Discount</v>
      </c>
      <c r="K49" s="42">
        <f t="shared" ca="1" si="3"/>
        <v>46081.614984027779</v>
      </c>
      <c r="L49" s="41" t="str">
        <f>IF(Table1[Sales]&gt;1000,"High purchase","Normal purchase")</f>
        <v>High purchase</v>
      </c>
      <c r="M49" s="48">
        <f>Table1[[#This Row],[Profit]]/Table1[[#This Row],[Sales]]</f>
        <v>0.4500034945136136</v>
      </c>
    </row>
    <row r="50" spans="1:13" ht="18.600000000000001" thickBot="1" x14ac:dyDescent="0.55000000000000004">
      <c r="A50" s="4" t="s">
        <v>57</v>
      </c>
      <c r="B50" s="1" t="s">
        <v>26</v>
      </c>
      <c r="C50" s="1" t="s">
        <v>18</v>
      </c>
      <c r="D50" s="1" t="s">
        <v>27</v>
      </c>
      <c r="E50" s="30">
        <v>1186.8499999999999</v>
      </c>
      <c r="F50" s="2">
        <v>19</v>
      </c>
      <c r="G50" s="2">
        <v>0.2</v>
      </c>
      <c r="H50" s="3">
        <v>45451</v>
      </c>
      <c r="I50" s="34">
        <v>332.32</v>
      </c>
      <c r="J50" s="13" t="str">
        <f t="shared" si="2"/>
        <v>High Discount</v>
      </c>
      <c r="K50" s="42">
        <f t="shared" ca="1" si="3"/>
        <v>46081.614984027779</v>
      </c>
      <c r="L50" s="41" t="str">
        <f>IF(Table1[Sales]&gt;1000,"High purchase","Normal purchase")</f>
        <v>High purchase</v>
      </c>
      <c r="M50" s="48">
        <f>Table1[[#This Row],[Profit]]/Table1[[#This Row],[Sales]]</f>
        <v>0.2800016851329149</v>
      </c>
    </row>
    <row r="51" spans="1:13" ht="18.600000000000001" thickBot="1" x14ac:dyDescent="0.55000000000000004">
      <c r="A51" s="4" t="s">
        <v>44</v>
      </c>
      <c r="B51" s="1" t="s">
        <v>51</v>
      </c>
      <c r="C51" s="1" t="s">
        <v>20</v>
      </c>
      <c r="D51" s="1" t="s">
        <v>21</v>
      </c>
      <c r="E51" s="30">
        <v>775.45</v>
      </c>
      <c r="F51" s="2">
        <v>6</v>
      </c>
      <c r="G51" s="2">
        <v>0.1</v>
      </c>
      <c r="H51" s="3">
        <v>45457</v>
      </c>
      <c r="I51" s="34">
        <v>174.48</v>
      </c>
      <c r="J51" s="13" t="str">
        <f t="shared" si="2"/>
        <v>Low Discount</v>
      </c>
      <c r="K51" s="42">
        <f t="shared" ca="1" si="3"/>
        <v>46081.614984027779</v>
      </c>
      <c r="L51" s="41" t="str">
        <f>IF(Table1[Sales]&gt;1000,"High purchase","Normal purchase")</f>
        <v>Normal purchase</v>
      </c>
      <c r="M51" s="48">
        <f>Table1[[#This Row],[Profit]]/Table1[[#This Row],[Sales]]</f>
        <v>0.22500483590173445</v>
      </c>
    </row>
    <row r="52" spans="1:13" ht="18.600000000000001" thickBot="1" x14ac:dyDescent="0.55000000000000004">
      <c r="A52" s="4" t="s">
        <v>25</v>
      </c>
      <c r="B52" s="1" t="s">
        <v>33</v>
      </c>
      <c r="C52" s="1" t="s">
        <v>20</v>
      </c>
      <c r="D52" s="1" t="s">
        <v>21</v>
      </c>
      <c r="E52" s="30">
        <v>1021.47</v>
      </c>
      <c r="F52" s="2">
        <v>6</v>
      </c>
      <c r="G52" s="2">
        <v>0.05</v>
      </c>
      <c r="H52" s="3">
        <v>45461</v>
      </c>
      <c r="I52" s="34">
        <v>242.6</v>
      </c>
      <c r="J52" s="13" t="str">
        <f t="shared" si="2"/>
        <v>Low Discount</v>
      </c>
      <c r="K52" s="42">
        <f t="shared" ca="1" si="3"/>
        <v>46081.614984027779</v>
      </c>
      <c r="L52" s="41" t="str">
        <f>IF(Table1[Sales]&gt;1000,"High purchase","Normal purchase")</f>
        <v>High purchase</v>
      </c>
      <c r="M52" s="48">
        <f>Table1[[#This Row],[Profit]]/Table1[[#This Row],[Sales]]</f>
        <v>0.23750085660861306</v>
      </c>
    </row>
    <row r="53" spans="1:13" ht="18.600000000000001" thickBot="1" x14ac:dyDescent="0.55000000000000004">
      <c r="A53" s="4" t="s">
        <v>58</v>
      </c>
      <c r="B53" s="1" t="s">
        <v>23</v>
      </c>
      <c r="C53" s="1" t="s">
        <v>20</v>
      </c>
      <c r="D53" s="1" t="s">
        <v>15</v>
      </c>
      <c r="E53" s="30">
        <v>1226.6199999999999</v>
      </c>
      <c r="F53" s="2">
        <v>7</v>
      </c>
      <c r="G53" s="2">
        <v>0.1</v>
      </c>
      <c r="H53" s="3">
        <v>45463</v>
      </c>
      <c r="I53" s="34">
        <v>551.98</v>
      </c>
      <c r="J53" s="13" t="str">
        <f t="shared" si="2"/>
        <v>Low Discount</v>
      </c>
      <c r="K53" s="42">
        <f t="shared" ca="1" si="3"/>
        <v>46081.614984027779</v>
      </c>
      <c r="L53" s="41" t="str">
        <f>IF(Table1[Sales]&gt;1000,"High purchase","Normal purchase")</f>
        <v>High purchase</v>
      </c>
      <c r="M53" s="48">
        <f>Table1[[#This Row],[Profit]]/Table1[[#This Row],[Sales]]</f>
        <v>0.45000081524840624</v>
      </c>
    </row>
    <row r="54" spans="1:13" ht="18.600000000000001" thickBot="1" x14ac:dyDescent="0.55000000000000004">
      <c r="A54" s="4" t="s">
        <v>22</v>
      </c>
      <c r="B54" s="1" t="s">
        <v>64</v>
      </c>
      <c r="C54" s="1" t="s">
        <v>20</v>
      </c>
      <c r="D54" s="1" t="s">
        <v>27</v>
      </c>
      <c r="E54" s="30">
        <v>1086.93</v>
      </c>
      <c r="F54" s="2">
        <v>2</v>
      </c>
      <c r="G54" s="2">
        <v>0</v>
      </c>
      <c r="H54" s="3">
        <v>45464</v>
      </c>
      <c r="I54" s="34">
        <v>380.43</v>
      </c>
      <c r="J54" s="13" t="str">
        <f t="shared" si="2"/>
        <v>No Discount</v>
      </c>
      <c r="K54" s="42">
        <f t="shared" ca="1" si="3"/>
        <v>46081.614984027779</v>
      </c>
      <c r="L54" s="41" t="str">
        <f>IF(Table1[Sales]&gt;1000,"High purchase","Normal purchase")</f>
        <v>High purchase</v>
      </c>
      <c r="M54" s="48">
        <f>Table1[[#This Row],[Profit]]/Table1[[#This Row],[Sales]]</f>
        <v>0.35000414010101843</v>
      </c>
    </row>
    <row r="55" spans="1:13" ht="18.600000000000001" thickBot="1" x14ac:dyDescent="0.55000000000000004">
      <c r="A55" s="4" t="s">
        <v>65</v>
      </c>
      <c r="B55" s="1" t="s">
        <v>48</v>
      </c>
      <c r="C55" s="1" t="s">
        <v>11</v>
      </c>
      <c r="D55" s="1" t="s">
        <v>12</v>
      </c>
      <c r="E55" s="30">
        <v>942.9</v>
      </c>
      <c r="F55" s="2">
        <v>18</v>
      </c>
      <c r="G55" s="2">
        <v>0.1</v>
      </c>
      <c r="H55" s="3">
        <v>45466</v>
      </c>
      <c r="I55" s="34">
        <v>339.44</v>
      </c>
      <c r="J55" s="13" t="str">
        <f t="shared" si="2"/>
        <v>Low Discount</v>
      </c>
      <c r="K55" s="42">
        <f t="shared" ca="1" si="3"/>
        <v>46081.614984027779</v>
      </c>
      <c r="L55" s="41" t="str">
        <f>IF(Table1[Sales]&gt;1000,"High purchase","Normal purchase")</f>
        <v>Normal purchase</v>
      </c>
      <c r="M55" s="48">
        <f>Table1[[#This Row],[Profit]]/Table1[[#This Row],[Sales]]</f>
        <v>0.35999575776858628</v>
      </c>
    </row>
    <row r="56" spans="1:13" ht="18.600000000000001" thickBot="1" x14ac:dyDescent="0.55000000000000004">
      <c r="A56" s="4" t="s">
        <v>32</v>
      </c>
      <c r="B56" s="1" t="s">
        <v>38</v>
      </c>
      <c r="C56" s="1" t="s">
        <v>24</v>
      </c>
      <c r="D56" s="1" t="s">
        <v>21</v>
      </c>
      <c r="E56" s="30">
        <v>818.8</v>
      </c>
      <c r="F56" s="2">
        <v>15</v>
      </c>
      <c r="G56" s="2">
        <v>0.15</v>
      </c>
      <c r="H56" s="3">
        <v>45468</v>
      </c>
      <c r="I56" s="34">
        <v>173.99</v>
      </c>
      <c r="J56" s="13" t="str">
        <f t="shared" si="2"/>
        <v>Medium Discount</v>
      </c>
      <c r="K56" s="42">
        <f t="shared" ca="1" si="3"/>
        <v>46081.614984027779</v>
      </c>
      <c r="L56" s="41" t="str">
        <f>IF(Table1[Sales]&gt;1000,"High purchase","Normal purchase")</f>
        <v>Normal purchase</v>
      </c>
      <c r="M56" s="48">
        <f>Table1[[#This Row],[Profit]]/Table1[[#This Row],[Sales]]</f>
        <v>0.21249389350268688</v>
      </c>
    </row>
    <row r="57" spans="1:13" ht="18.600000000000001" thickBot="1" x14ac:dyDescent="0.55000000000000004">
      <c r="A57" s="4" t="s">
        <v>19</v>
      </c>
      <c r="B57" s="1" t="s">
        <v>14</v>
      </c>
      <c r="C57" s="1" t="s">
        <v>20</v>
      </c>
      <c r="D57" s="1" t="s">
        <v>27</v>
      </c>
      <c r="E57" s="30">
        <v>919.04</v>
      </c>
      <c r="F57" s="2">
        <v>10</v>
      </c>
      <c r="G57" s="2">
        <v>0.2</v>
      </c>
      <c r="H57" s="3">
        <v>45468</v>
      </c>
      <c r="I57" s="34">
        <v>257.33</v>
      </c>
      <c r="J57" s="13" t="str">
        <f t="shared" si="2"/>
        <v>High Discount</v>
      </c>
      <c r="K57" s="42">
        <f t="shared" ca="1" si="3"/>
        <v>46081.614984027779</v>
      </c>
      <c r="L57" s="41" t="str">
        <f>IF(Table1[Sales]&gt;1000,"High purchase","Normal purchase")</f>
        <v>Normal purchase</v>
      </c>
      <c r="M57" s="48">
        <f>Table1[[#This Row],[Profit]]/Table1[[#This Row],[Sales]]</f>
        <v>0.27999869428969359</v>
      </c>
    </row>
    <row r="58" spans="1:13" ht="18.600000000000001" thickBot="1" x14ac:dyDescent="0.55000000000000004">
      <c r="A58" s="4" t="s">
        <v>22</v>
      </c>
      <c r="B58" s="1" t="s">
        <v>66</v>
      </c>
      <c r="C58" s="1" t="s">
        <v>34</v>
      </c>
      <c r="D58" s="1" t="s">
        <v>12</v>
      </c>
      <c r="E58" s="30">
        <v>973.26</v>
      </c>
      <c r="F58" s="2">
        <v>11</v>
      </c>
      <c r="G58" s="2">
        <v>0</v>
      </c>
      <c r="H58" s="3">
        <v>45470</v>
      </c>
      <c r="I58" s="34">
        <v>389.3</v>
      </c>
      <c r="J58" s="13" t="str">
        <f t="shared" si="2"/>
        <v>No Discount</v>
      </c>
      <c r="K58" s="42">
        <f t="shared" ca="1" si="3"/>
        <v>46081.614984027779</v>
      </c>
      <c r="L58" s="41" t="str">
        <f>IF(Table1[Sales]&gt;1000,"High purchase","Normal purchase")</f>
        <v>Normal purchase</v>
      </c>
      <c r="M58" s="48">
        <f>Table1[[#This Row],[Profit]]/Table1[[#This Row],[Sales]]</f>
        <v>0.39999589010130904</v>
      </c>
    </row>
    <row r="59" spans="1:13" ht="18.600000000000001" thickBot="1" x14ac:dyDescent="0.55000000000000004">
      <c r="A59" s="4" t="s">
        <v>41</v>
      </c>
      <c r="B59" s="1" t="s">
        <v>64</v>
      </c>
      <c r="C59" s="1" t="s">
        <v>24</v>
      </c>
      <c r="D59" s="1" t="s">
        <v>21</v>
      </c>
      <c r="E59" s="30">
        <v>741.61</v>
      </c>
      <c r="F59" s="2">
        <v>1</v>
      </c>
      <c r="G59" s="2">
        <v>0.2</v>
      </c>
      <c r="H59" s="3">
        <v>45471</v>
      </c>
      <c r="I59" s="34">
        <v>148.32</v>
      </c>
      <c r="J59" s="13" t="str">
        <f t="shared" si="2"/>
        <v>High Discount</v>
      </c>
      <c r="K59" s="42">
        <f t="shared" ca="1" si="3"/>
        <v>46081.614984027779</v>
      </c>
      <c r="L59" s="41" t="str">
        <f>IF(Table1[Sales]&gt;1000,"High purchase","Normal purchase")</f>
        <v>Normal purchase</v>
      </c>
      <c r="M59" s="48">
        <f>Table1[[#This Row],[Profit]]/Table1[[#This Row],[Sales]]</f>
        <v>0.19999730316473616</v>
      </c>
    </row>
    <row r="60" spans="1:13" ht="18.600000000000001" thickBot="1" x14ac:dyDescent="0.55000000000000004">
      <c r="A60" s="4" t="s">
        <v>67</v>
      </c>
      <c r="B60" s="1" t="s">
        <v>38</v>
      </c>
      <c r="C60" s="1" t="s">
        <v>24</v>
      </c>
      <c r="D60" s="1" t="s">
        <v>12</v>
      </c>
      <c r="E60" s="30">
        <v>1248.82</v>
      </c>
      <c r="F60" s="2">
        <v>2</v>
      </c>
      <c r="G60" s="2">
        <v>0.1</v>
      </c>
      <c r="H60" s="3">
        <v>45473</v>
      </c>
      <c r="I60" s="34">
        <v>449.58</v>
      </c>
      <c r="J60" s="13" t="str">
        <f t="shared" si="2"/>
        <v>Low Discount</v>
      </c>
      <c r="K60" s="42">
        <f t="shared" ca="1" si="3"/>
        <v>46081.614984027779</v>
      </c>
      <c r="L60" s="41" t="str">
        <f>IF(Table1[Sales]&gt;1000,"High purchase","Normal purchase")</f>
        <v>High purchase</v>
      </c>
      <c r="M60" s="48">
        <f>Table1[[#This Row],[Profit]]/Table1[[#This Row],[Sales]]</f>
        <v>0.36000384362838522</v>
      </c>
    </row>
    <row r="61" spans="1:13" ht="18.600000000000001" thickBot="1" x14ac:dyDescent="0.55000000000000004">
      <c r="A61" s="4" t="s">
        <v>13</v>
      </c>
      <c r="B61" s="1" t="s">
        <v>59</v>
      </c>
      <c r="C61" s="1" t="s">
        <v>11</v>
      </c>
      <c r="D61" s="1" t="s">
        <v>15</v>
      </c>
      <c r="E61" s="30">
        <v>1360.36</v>
      </c>
      <c r="F61" s="2">
        <v>17</v>
      </c>
      <c r="G61" s="2">
        <v>0</v>
      </c>
      <c r="H61" s="3">
        <v>45473</v>
      </c>
      <c r="I61" s="34">
        <v>680.18</v>
      </c>
      <c r="J61" s="13" t="str">
        <f t="shared" si="2"/>
        <v>No Discount</v>
      </c>
      <c r="K61" s="42">
        <f t="shared" ca="1" si="3"/>
        <v>46081.614984027779</v>
      </c>
      <c r="L61" s="41" t="str">
        <f>IF(Table1[Sales]&gt;1000,"High purchase","Normal purchase")</f>
        <v>High purchase</v>
      </c>
      <c r="M61" s="48">
        <f>Table1[[#This Row],[Profit]]/Table1[[#This Row],[Sales]]</f>
        <v>0.5</v>
      </c>
    </row>
    <row r="62" spans="1:13" ht="18.600000000000001" thickBot="1" x14ac:dyDescent="0.55000000000000004">
      <c r="A62" s="4" t="s">
        <v>57</v>
      </c>
      <c r="B62" s="1" t="s">
        <v>31</v>
      </c>
      <c r="C62" s="1" t="s">
        <v>18</v>
      </c>
      <c r="D62" s="1" t="s">
        <v>12</v>
      </c>
      <c r="E62" s="30">
        <v>1383.3</v>
      </c>
      <c r="F62" s="2">
        <v>8</v>
      </c>
      <c r="G62" s="2">
        <v>0.1</v>
      </c>
      <c r="H62" s="3">
        <v>45478</v>
      </c>
      <c r="I62" s="34">
        <v>497.99</v>
      </c>
      <c r="J62" s="13" t="str">
        <f t="shared" si="2"/>
        <v>Low Discount</v>
      </c>
      <c r="K62" s="42">
        <f t="shared" ca="1" si="3"/>
        <v>46081.614984027779</v>
      </c>
      <c r="L62" s="41" t="str">
        <f>IF(Table1[Sales]&gt;1000,"High purchase","Normal purchase")</f>
        <v>High purchase</v>
      </c>
      <c r="M62" s="48">
        <f>Table1[[#This Row],[Profit]]/Table1[[#This Row],[Sales]]</f>
        <v>0.36000144581797155</v>
      </c>
    </row>
    <row r="63" spans="1:13" ht="18.600000000000001" thickBot="1" x14ac:dyDescent="0.55000000000000004">
      <c r="A63" s="4" t="s">
        <v>35</v>
      </c>
      <c r="B63" s="1" t="s">
        <v>55</v>
      </c>
      <c r="C63" s="1" t="s">
        <v>34</v>
      </c>
      <c r="D63" s="1" t="s">
        <v>39</v>
      </c>
      <c r="E63" s="30">
        <v>488.99</v>
      </c>
      <c r="F63" s="2">
        <v>9</v>
      </c>
      <c r="G63" s="2">
        <v>0</v>
      </c>
      <c r="H63" s="3">
        <v>45479</v>
      </c>
      <c r="I63" s="34">
        <v>220.05</v>
      </c>
      <c r="J63" s="13" t="str">
        <f t="shared" si="2"/>
        <v>No Discount</v>
      </c>
      <c r="K63" s="42">
        <f t="shared" ca="1" si="3"/>
        <v>46081.614984027779</v>
      </c>
      <c r="L63" s="41" t="str">
        <f>IF(Table1[Sales]&gt;1000,"High purchase","Normal purchase")</f>
        <v>Normal purchase</v>
      </c>
      <c r="M63" s="48">
        <f>Table1[[#This Row],[Profit]]/Table1[[#This Row],[Sales]]</f>
        <v>0.45000920264218086</v>
      </c>
    </row>
    <row r="64" spans="1:13" ht="18.600000000000001" thickBot="1" x14ac:dyDescent="0.55000000000000004">
      <c r="A64" s="4" t="s">
        <v>30</v>
      </c>
      <c r="B64" s="1" t="s">
        <v>31</v>
      </c>
      <c r="C64" s="1" t="s">
        <v>18</v>
      </c>
      <c r="D64" s="1" t="s">
        <v>27</v>
      </c>
      <c r="E64" s="30">
        <v>933.71</v>
      </c>
      <c r="F64" s="2">
        <v>17</v>
      </c>
      <c r="G64" s="2">
        <v>0.1</v>
      </c>
      <c r="H64" s="3">
        <v>45481</v>
      </c>
      <c r="I64" s="34">
        <v>294.12</v>
      </c>
      <c r="J64" s="13" t="str">
        <f t="shared" si="2"/>
        <v>Low Discount</v>
      </c>
      <c r="K64" s="42">
        <f t="shared" ca="1" si="3"/>
        <v>46081.614984027779</v>
      </c>
      <c r="L64" s="41" t="str">
        <f>IF(Table1[Sales]&gt;1000,"High purchase","Normal purchase")</f>
        <v>Normal purchase</v>
      </c>
      <c r="M64" s="48">
        <f>Table1[[#This Row],[Profit]]/Table1[[#This Row],[Sales]]</f>
        <v>0.31500144584506967</v>
      </c>
    </row>
    <row r="65" spans="1:13" ht="18.600000000000001" thickBot="1" x14ac:dyDescent="0.55000000000000004">
      <c r="A65" s="4" t="s">
        <v>67</v>
      </c>
      <c r="B65" s="1" t="s">
        <v>10</v>
      </c>
      <c r="C65" s="1" t="s">
        <v>11</v>
      </c>
      <c r="D65" s="1" t="s">
        <v>21</v>
      </c>
      <c r="E65" s="30">
        <v>1005.53</v>
      </c>
      <c r="F65" s="2">
        <v>17</v>
      </c>
      <c r="G65" s="2">
        <v>0.2</v>
      </c>
      <c r="H65" s="3">
        <v>45481</v>
      </c>
      <c r="I65" s="34">
        <v>201.11</v>
      </c>
      <c r="J65" s="13" t="str">
        <f t="shared" si="2"/>
        <v>High Discount</v>
      </c>
      <c r="K65" s="42">
        <f t="shared" ca="1" si="3"/>
        <v>46081.614984027779</v>
      </c>
      <c r="L65" s="41" t="str">
        <f>IF(Table1[Sales]&gt;1000,"High purchase","Normal purchase")</f>
        <v>High purchase</v>
      </c>
      <c r="M65" s="48">
        <f>Table1[[#This Row],[Profit]]/Table1[[#This Row],[Sales]]</f>
        <v>0.2000039780016509</v>
      </c>
    </row>
    <row r="66" spans="1:13" ht="18.600000000000001" thickBot="1" x14ac:dyDescent="0.55000000000000004">
      <c r="A66" s="4" t="s">
        <v>41</v>
      </c>
      <c r="B66" s="1" t="s">
        <v>61</v>
      </c>
      <c r="C66" s="1" t="s">
        <v>20</v>
      </c>
      <c r="D66" s="1" t="s">
        <v>21</v>
      </c>
      <c r="E66" s="30">
        <v>1100.0999999999999</v>
      </c>
      <c r="F66" s="2">
        <v>5</v>
      </c>
      <c r="G66" s="2">
        <v>0.05</v>
      </c>
      <c r="H66" s="3">
        <v>45482</v>
      </c>
      <c r="I66" s="34">
        <v>261.27</v>
      </c>
      <c r="J66" s="13" t="str">
        <f t="shared" ref="J66:J97" si="4">_xlfn.IFS(G66=0,"No Discount", G66&lt;=0.1,"Low Discount",G66&lt;=0.15,"Medium Discount",G66&gt;0.15,"High Discount")</f>
        <v>Low Discount</v>
      </c>
      <c r="K66" s="42">
        <f t="shared" ref="K66:K97" ca="1" si="5">NOW()</f>
        <v>46081.614984027779</v>
      </c>
      <c r="L66" s="41" t="str">
        <f>IF(Table1[Sales]&gt;1000,"High purchase","Normal purchase")</f>
        <v>High purchase</v>
      </c>
      <c r="M66" s="48">
        <f>Table1[[#This Row],[Profit]]/Table1[[#This Row],[Sales]]</f>
        <v>0.23749659121898009</v>
      </c>
    </row>
    <row r="67" spans="1:13" ht="18.600000000000001" thickBot="1" x14ac:dyDescent="0.55000000000000004">
      <c r="A67" s="4" t="s">
        <v>67</v>
      </c>
      <c r="B67" s="1" t="s">
        <v>23</v>
      </c>
      <c r="C67" s="1" t="s">
        <v>24</v>
      </c>
      <c r="D67" s="1" t="s">
        <v>27</v>
      </c>
      <c r="E67" s="30">
        <v>1034.7</v>
      </c>
      <c r="F67" s="2">
        <v>15</v>
      </c>
      <c r="G67" s="2">
        <v>0.15</v>
      </c>
      <c r="H67" s="3">
        <v>45487</v>
      </c>
      <c r="I67" s="34">
        <v>307.82</v>
      </c>
      <c r="J67" s="13" t="str">
        <f t="shared" si="4"/>
        <v>Medium Discount</v>
      </c>
      <c r="K67" s="42">
        <f t="shared" ca="1" si="5"/>
        <v>46081.614984027779</v>
      </c>
      <c r="L67" s="41" t="str">
        <f>IF(Table1[Sales]&gt;1000,"High purchase","Normal purchase")</f>
        <v>High purchase</v>
      </c>
      <c r="M67" s="48">
        <f>Table1[[#This Row],[Profit]]/Table1[[#This Row],[Sales]]</f>
        <v>0.29749685899294481</v>
      </c>
    </row>
    <row r="68" spans="1:13" ht="18.600000000000001" thickBot="1" x14ac:dyDescent="0.55000000000000004">
      <c r="A68" s="4" t="s">
        <v>65</v>
      </c>
      <c r="B68" s="1" t="s">
        <v>31</v>
      </c>
      <c r="C68" s="1" t="s">
        <v>20</v>
      </c>
      <c r="D68" s="1" t="s">
        <v>12</v>
      </c>
      <c r="E68" s="30">
        <v>876.44</v>
      </c>
      <c r="F68" s="2">
        <v>12</v>
      </c>
      <c r="G68" s="2">
        <v>0.05</v>
      </c>
      <c r="H68" s="3">
        <v>45488</v>
      </c>
      <c r="I68" s="34">
        <v>333.05</v>
      </c>
      <c r="J68" s="13" t="str">
        <f t="shared" si="4"/>
        <v>Low Discount</v>
      </c>
      <c r="K68" s="42">
        <f t="shared" ca="1" si="5"/>
        <v>46081.614984027779</v>
      </c>
      <c r="L68" s="41" t="str">
        <f>IF(Table1[Sales]&gt;1000,"High purchase","Normal purchase")</f>
        <v>Normal purchase</v>
      </c>
      <c r="M68" s="48">
        <f>Table1[[#This Row],[Profit]]/Table1[[#This Row],[Sales]]</f>
        <v>0.38000319474236682</v>
      </c>
    </row>
    <row r="69" spans="1:13" ht="18.600000000000001" thickBot="1" x14ac:dyDescent="0.55000000000000004">
      <c r="A69" s="4" t="s">
        <v>68</v>
      </c>
      <c r="B69" s="1" t="s">
        <v>55</v>
      </c>
      <c r="C69" s="1" t="s">
        <v>11</v>
      </c>
      <c r="D69" s="1" t="s">
        <v>27</v>
      </c>
      <c r="E69" s="30">
        <v>1371.34</v>
      </c>
      <c r="F69" s="2">
        <v>5</v>
      </c>
      <c r="G69" s="2">
        <v>0.05</v>
      </c>
      <c r="H69" s="3">
        <v>45488</v>
      </c>
      <c r="I69" s="34">
        <v>455.97</v>
      </c>
      <c r="J69" s="13" t="str">
        <f t="shared" si="4"/>
        <v>Low Discount</v>
      </c>
      <c r="K69" s="42">
        <f t="shared" ca="1" si="5"/>
        <v>46081.614984027779</v>
      </c>
      <c r="L69" s="41" t="str">
        <f>IF(Table1[Sales]&gt;1000,"High purchase","Normal purchase")</f>
        <v>High purchase</v>
      </c>
      <c r="M69" s="48">
        <f>Table1[[#This Row],[Profit]]/Table1[[#This Row],[Sales]]</f>
        <v>0.33249959893243108</v>
      </c>
    </row>
    <row r="70" spans="1:13" ht="18.600000000000001" thickBot="1" x14ac:dyDescent="0.55000000000000004">
      <c r="A70" s="4" t="s">
        <v>57</v>
      </c>
      <c r="B70" s="1" t="s">
        <v>47</v>
      </c>
      <c r="C70" s="1" t="s">
        <v>24</v>
      </c>
      <c r="D70" s="1" t="s">
        <v>21</v>
      </c>
      <c r="E70" s="30">
        <v>1020.26</v>
      </c>
      <c r="F70" s="2">
        <v>11</v>
      </c>
      <c r="G70" s="2">
        <v>0.05</v>
      </c>
      <c r="H70" s="3">
        <v>45494</v>
      </c>
      <c r="I70" s="34">
        <v>242.31</v>
      </c>
      <c r="J70" s="13" t="str">
        <f t="shared" si="4"/>
        <v>Low Discount</v>
      </c>
      <c r="K70" s="42">
        <f t="shared" ca="1" si="5"/>
        <v>46081.614984027779</v>
      </c>
      <c r="L70" s="41" t="str">
        <f>IF(Table1[Sales]&gt;1000,"High purchase","Normal purchase")</f>
        <v>High purchase</v>
      </c>
      <c r="M70" s="48">
        <f>Table1[[#This Row],[Profit]]/Table1[[#This Row],[Sales]]</f>
        <v>0.23749828475094584</v>
      </c>
    </row>
    <row r="71" spans="1:13" ht="18.600000000000001" thickBot="1" x14ac:dyDescent="0.55000000000000004">
      <c r="A71" s="4" t="s">
        <v>44</v>
      </c>
      <c r="B71" s="1" t="s">
        <v>10</v>
      </c>
      <c r="C71" s="1" t="s">
        <v>34</v>
      </c>
      <c r="D71" s="1" t="s">
        <v>39</v>
      </c>
      <c r="E71" s="30">
        <v>804.81</v>
      </c>
      <c r="F71" s="2">
        <v>1</v>
      </c>
      <c r="G71" s="2">
        <v>0.05</v>
      </c>
      <c r="H71" s="3">
        <v>45502</v>
      </c>
      <c r="I71" s="34">
        <v>344.06</v>
      </c>
      <c r="J71" s="13" t="str">
        <f t="shared" si="4"/>
        <v>Low Discount</v>
      </c>
      <c r="K71" s="42">
        <f t="shared" ca="1" si="5"/>
        <v>46081.614984027779</v>
      </c>
      <c r="L71" s="41" t="str">
        <f>IF(Table1[Sales]&gt;1000,"High purchase","Normal purchase")</f>
        <v>Normal purchase</v>
      </c>
      <c r="M71" s="48">
        <f>Table1[[#This Row],[Profit]]/Table1[[#This Row],[Sales]]</f>
        <v>0.42750462842161507</v>
      </c>
    </row>
    <row r="72" spans="1:13" ht="18.600000000000001" thickBot="1" x14ac:dyDescent="0.55000000000000004">
      <c r="A72" s="4" t="s">
        <v>22</v>
      </c>
      <c r="B72" s="1" t="s">
        <v>55</v>
      </c>
      <c r="C72" s="1" t="s">
        <v>34</v>
      </c>
      <c r="D72" s="1" t="s">
        <v>21</v>
      </c>
      <c r="E72" s="30">
        <v>608.66</v>
      </c>
      <c r="F72" s="2">
        <v>1</v>
      </c>
      <c r="G72" s="2">
        <v>0.05</v>
      </c>
      <c r="H72" s="3">
        <v>45503</v>
      </c>
      <c r="I72" s="34">
        <v>144.56</v>
      </c>
      <c r="J72" s="13" t="str">
        <f t="shared" si="4"/>
        <v>Low Discount</v>
      </c>
      <c r="K72" s="42">
        <f t="shared" ca="1" si="5"/>
        <v>46081.614984027779</v>
      </c>
      <c r="L72" s="41" t="str">
        <f>IF(Table1[Sales]&gt;1000,"High purchase","Normal purchase")</f>
        <v>Normal purchase</v>
      </c>
      <c r="M72" s="48">
        <f>Table1[[#This Row],[Profit]]/Table1[[#This Row],[Sales]]</f>
        <v>0.23750533959846221</v>
      </c>
    </row>
    <row r="73" spans="1:13" ht="18.600000000000001" thickBot="1" x14ac:dyDescent="0.55000000000000004">
      <c r="A73" s="4" t="s">
        <v>68</v>
      </c>
      <c r="B73" s="1" t="s">
        <v>69</v>
      </c>
      <c r="C73" s="1" t="s">
        <v>20</v>
      </c>
      <c r="D73" s="1" t="s">
        <v>39</v>
      </c>
      <c r="E73" s="30">
        <v>981.2</v>
      </c>
      <c r="F73" s="2">
        <v>19</v>
      </c>
      <c r="G73" s="2">
        <v>0</v>
      </c>
      <c r="H73" s="3">
        <v>45504</v>
      </c>
      <c r="I73" s="34">
        <v>441.54</v>
      </c>
      <c r="J73" s="13" t="str">
        <f t="shared" si="4"/>
        <v>No Discount</v>
      </c>
      <c r="K73" s="42">
        <f t="shared" ca="1" si="5"/>
        <v>46081.614984027779</v>
      </c>
      <c r="L73" s="41" t="str">
        <f>IF(Table1[Sales]&gt;1000,"High purchase","Normal purchase")</f>
        <v>Normal purchase</v>
      </c>
      <c r="M73" s="48">
        <f>Table1[[#This Row],[Profit]]/Table1[[#This Row],[Sales]]</f>
        <v>0.45</v>
      </c>
    </row>
    <row r="74" spans="1:13" ht="18.600000000000001" thickBot="1" x14ac:dyDescent="0.55000000000000004">
      <c r="A74" s="4" t="s">
        <v>70</v>
      </c>
      <c r="B74" s="1" t="s">
        <v>55</v>
      </c>
      <c r="C74" s="1" t="s">
        <v>18</v>
      </c>
      <c r="D74" s="1" t="s">
        <v>21</v>
      </c>
      <c r="E74" s="30">
        <v>539.77</v>
      </c>
      <c r="F74" s="2">
        <v>10</v>
      </c>
      <c r="G74" s="2">
        <v>0.15</v>
      </c>
      <c r="H74" s="3">
        <v>45509</v>
      </c>
      <c r="I74" s="34">
        <v>114.7</v>
      </c>
      <c r="J74" s="13" t="str">
        <f t="shared" si="4"/>
        <v>Medium Discount</v>
      </c>
      <c r="K74" s="42">
        <f t="shared" ca="1" si="5"/>
        <v>46081.614984027779</v>
      </c>
      <c r="L74" s="41" t="str">
        <f>IF(Table1[Sales]&gt;1000,"High purchase","Normal purchase")</f>
        <v>Normal purchase</v>
      </c>
      <c r="M74" s="48">
        <f>Table1[[#This Row],[Profit]]/Table1[[#This Row],[Sales]]</f>
        <v>0.21249791577894289</v>
      </c>
    </row>
    <row r="75" spans="1:13" ht="18.600000000000001" thickBot="1" x14ac:dyDescent="0.55000000000000004">
      <c r="A75" s="4" t="s">
        <v>13</v>
      </c>
      <c r="B75" s="1" t="s">
        <v>71</v>
      </c>
      <c r="C75" s="1" t="s">
        <v>20</v>
      </c>
      <c r="D75" s="1" t="s">
        <v>12</v>
      </c>
      <c r="E75" s="30">
        <v>804.45</v>
      </c>
      <c r="F75" s="2">
        <v>5</v>
      </c>
      <c r="G75" s="2">
        <v>0.2</v>
      </c>
      <c r="H75" s="3">
        <v>45509</v>
      </c>
      <c r="I75" s="34">
        <v>257.42</v>
      </c>
      <c r="J75" s="13" t="str">
        <f t="shared" si="4"/>
        <v>High Discount</v>
      </c>
      <c r="K75" s="42">
        <f t="shared" ca="1" si="5"/>
        <v>46081.614984027779</v>
      </c>
      <c r="L75" s="41" t="str">
        <f>IF(Table1[Sales]&gt;1000,"High purchase","Normal purchase")</f>
        <v>Normal purchase</v>
      </c>
      <c r="M75" s="48">
        <f>Table1[[#This Row],[Profit]]/Table1[[#This Row],[Sales]]</f>
        <v>0.31999502765864879</v>
      </c>
    </row>
    <row r="76" spans="1:13" ht="18.600000000000001" thickBot="1" x14ac:dyDescent="0.55000000000000004">
      <c r="A76" s="4" t="s">
        <v>70</v>
      </c>
      <c r="B76" s="1" t="s">
        <v>38</v>
      </c>
      <c r="C76" s="1" t="s">
        <v>11</v>
      </c>
      <c r="D76" s="1" t="s">
        <v>21</v>
      </c>
      <c r="E76" s="30">
        <v>1526.6</v>
      </c>
      <c r="F76" s="2">
        <v>13</v>
      </c>
      <c r="G76" s="2">
        <v>0.2</v>
      </c>
      <c r="H76" s="3">
        <v>45512</v>
      </c>
      <c r="I76" s="34">
        <v>305.32</v>
      </c>
      <c r="J76" s="13" t="str">
        <f t="shared" si="4"/>
        <v>High Discount</v>
      </c>
      <c r="K76" s="42">
        <f t="shared" ca="1" si="5"/>
        <v>46081.614984027779</v>
      </c>
      <c r="L76" s="41" t="str">
        <f>IF(Table1[Sales]&gt;1000,"High purchase","Normal purchase")</f>
        <v>High purchase</v>
      </c>
      <c r="M76" s="48">
        <f>Table1[[#This Row],[Profit]]/Table1[[#This Row],[Sales]]</f>
        <v>0.2</v>
      </c>
    </row>
    <row r="77" spans="1:13" ht="18.600000000000001" thickBot="1" x14ac:dyDescent="0.55000000000000004">
      <c r="A77" s="4" t="s">
        <v>13</v>
      </c>
      <c r="B77" s="1" t="s">
        <v>29</v>
      </c>
      <c r="C77" s="1" t="s">
        <v>11</v>
      </c>
      <c r="D77" s="1" t="s">
        <v>21</v>
      </c>
      <c r="E77" s="30">
        <v>1215.26</v>
      </c>
      <c r="F77" s="2">
        <v>5</v>
      </c>
      <c r="G77" s="2">
        <v>0.15</v>
      </c>
      <c r="H77" s="3">
        <v>45513</v>
      </c>
      <c r="I77" s="34">
        <v>258.24</v>
      </c>
      <c r="J77" s="13" t="str">
        <f t="shared" si="4"/>
        <v>Medium Discount</v>
      </c>
      <c r="K77" s="42">
        <f t="shared" ca="1" si="5"/>
        <v>46081.614984027779</v>
      </c>
      <c r="L77" s="41" t="str">
        <f>IF(Table1[Sales]&gt;1000,"High purchase","Normal purchase")</f>
        <v>High purchase</v>
      </c>
      <c r="M77" s="48">
        <f>Table1[[#This Row],[Profit]]/Table1[[#This Row],[Sales]]</f>
        <v>0.21249773710975431</v>
      </c>
    </row>
    <row r="78" spans="1:13" ht="18.600000000000001" thickBot="1" x14ac:dyDescent="0.55000000000000004">
      <c r="A78" s="4" t="s">
        <v>19</v>
      </c>
      <c r="B78" s="1" t="s">
        <v>53</v>
      </c>
      <c r="C78" s="1" t="s">
        <v>34</v>
      </c>
      <c r="D78" s="1" t="s">
        <v>27</v>
      </c>
      <c r="E78" s="30">
        <v>1261.3399999999999</v>
      </c>
      <c r="F78" s="2">
        <v>3</v>
      </c>
      <c r="G78" s="2">
        <v>0</v>
      </c>
      <c r="H78" s="3">
        <v>45519</v>
      </c>
      <c r="I78" s="34">
        <v>441.47</v>
      </c>
      <c r="J78" s="13" t="str">
        <f t="shared" si="4"/>
        <v>No Discount</v>
      </c>
      <c r="K78" s="42">
        <f t="shared" ca="1" si="5"/>
        <v>46081.614984027779</v>
      </c>
      <c r="L78" s="41" t="str">
        <f>IF(Table1[Sales]&gt;1000,"High purchase","Normal purchase")</f>
        <v>High purchase</v>
      </c>
      <c r="M78" s="48">
        <f>Table1[[#This Row],[Profit]]/Table1[[#This Row],[Sales]]</f>
        <v>0.35000079280764906</v>
      </c>
    </row>
    <row r="79" spans="1:13" ht="18.600000000000001" thickBot="1" x14ac:dyDescent="0.55000000000000004">
      <c r="A79" s="4" t="s">
        <v>72</v>
      </c>
      <c r="B79" s="1" t="s">
        <v>45</v>
      </c>
      <c r="C79" s="1" t="s">
        <v>24</v>
      </c>
      <c r="D79" s="1" t="s">
        <v>27</v>
      </c>
      <c r="E79" s="30">
        <v>518.07000000000005</v>
      </c>
      <c r="F79" s="2">
        <v>7</v>
      </c>
      <c r="G79" s="2">
        <v>0.05</v>
      </c>
      <c r="H79" s="3">
        <v>45522</v>
      </c>
      <c r="I79" s="34">
        <v>172.26</v>
      </c>
      <c r="J79" s="13" t="str">
        <f t="shared" si="4"/>
        <v>Low Discount</v>
      </c>
      <c r="K79" s="42">
        <f t="shared" ca="1" si="5"/>
        <v>46081.614984027779</v>
      </c>
      <c r="L79" s="41" t="str">
        <f>IF(Table1[Sales]&gt;1000,"High purchase","Normal purchase")</f>
        <v>Normal purchase</v>
      </c>
      <c r="M79" s="48">
        <f>Table1[[#This Row],[Profit]]/Table1[[#This Row],[Sales]]</f>
        <v>0.3325033296658752</v>
      </c>
    </row>
    <row r="80" spans="1:13" ht="18.600000000000001" thickBot="1" x14ac:dyDescent="0.55000000000000004">
      <c r="A80" s="4" t="s">
        <v>30</v>
      </c>
      <c r="B80" s="1" t="s">
        <v>29</v>
      </c>
      <c r="C80" s="1" t="s">
        <v>11</v>
      </c>
      <c r="D80" s="1" t="s">
        <v>39</v>
      </c>
      <c r="E80" s="30">
        <v>1111.3399999999999</v>
      </c>
      <c r="F80" s="2">
        <v>1</v>
      </c>
      <c r="G80" s="2">
        <v>0</v>
      </c>
      <c r="H80" s="3">
        <v>45523</v>
      </c>
      <c r="I80" s="34">
        <v>500.1</v>
      </c>
      <c r="J80" s="13" t="str">
        <f t="shared" si="4"/>
        <v>No Discount</v>
      </c>
      <c r="K80" s="42">
        <f t="shared" ca="1" si="5"/>
        <v>46081.614984027779</v>
      </c>
      <c r="L80" s="41" t="str">
        <f>IF(Table1[Sales]&gt;1000,"High purchase","Normal purchase")</f>
        <v>High purchase</v>
      </c>
      <c r="M80" s="48">
        <f>Table1[[#This Row],[Profit]]/Table1[[#This Row],[Sales]]</f>
        <v>0.4499973005560855</v>
      </c>
    </row>
    <row r="81" spans="1:13" ht="18.600000000000001" thickBot="1" x14ac:dyDescent="0.55000000000000004">
      <c r="A81" s="4" t="s">
        <v>22</v>
      </c>
      <c r="B81" s="1" t="s">
        <v>31</v>
      </c>
      <c r="C81" s="1" t="s">
        <v>18</v>
      </c>
      <c r="D81" s="1" t="s">
        <v>15</v>
      </c>
      <c r="E81" s="30">
        <v>1291.47</v>
      </c>
      <c r="F81" s="2">
        <v>18</v>
      </c>
      <c r="G81" s="2">
        <v>0.1</v>
      </c>
      <c r="H81" s="3">
        <v>45526</v>
      </c>
      <c r="I81" s="34">
        <v>581.16</v>
      </c>
      <c r="J81" s="13" t="str">
        <f t="shared" si="4"/>
        <v>Low Discount</v>
      </c>
      <c r="K81" s="42">
        <f t="shared" ca="1" si="5"/>
        <v>46081.614984027779</v>
      </c>
      <c r="L81" s="41" t="str">
        <f>IF(Table1[Sales]&gt;1000,"High purchase","Normal purchase")</f>
        <v>High purchase</v>
      </c>
      <c r="M81" s="48">
        <f>Table1[[#This Row],[Profit]]/Table1[[#This Row],[Sales]]</f>
        <v>0.44999883853283462</v>
      </c>
    </row>
    <row r="82" spans="1:13" ht="18.600000000000001" thickBot="1" x14ac:dyDescent="0.55000000000000004">
      <c r="A82" s="4" t="s">
        <v>25</v>
      </c>
      <c r="B82" s="1" t="s">
        <v>55</v>
      </c>
      <c r="C82" s="1" t="s">
        <v>24</v>
      </c>
      <c r="D82" s="1" t="s">
        <v>12</v>
      </c>
      <c r="E82" s="30">
        <v>679.71</v>
      </c>
      <c r="F82" s="2">
        <v>19</v>
      </c>
      <c r="G82" s="2">
        <v>0</v>
      </c>
      <c r="H82" s="3">
        <v>45534</v>
      </c>
      <c r="I82" s="34">
        <v>271.88</v>
      </c>
      <c r="J82" s="13" t="str">
        <f t="shared" si="4"/>
        <v>No Discount</v>
      </c>
      <c r="K82" s="42">
        <f t="shared" ca="1" si="5"/>
        <v>46081.614984027779</v>
      </c>
      <c r="L82" s="41" t="str">
        <f>IF(Table1[Sales]&gt;1000,"High purchase","Normal purchase")</f>
        <v>Normal purchase</v>
      </c>
      <c r="M82" s="48">
        <f>Table1[[#This Row],[Profit]]/Table1[[#This Row],[Sales]]</f>
        <v>0.39999411513733796</v>
      </c>
    </row>
    <row r="83" spans="1:13" ht="18.600000000000001" thickBot="1" x14ac:dyDescent="0.55000000000000004">
      <c r="A83" s="4" t="s">
        <v>68</v>
      </c>
      <c r="B83" s="1" t="s">
        <v>33</v>
      </c>
      <c r="C83" s="1" t="s">
        <v>18</v>
      </c>
      <c r="D83" s="1" t="s">
        <v>27</v>
      </c>
      <c r="E83" s="30">
        <v>1143.69</v>
      </c>
      <c r="F83" s="2">
        <v>17</v>
      </c>
      <c r="G83" s="2">
        <v>0</v>
      </c>
      <c r="H83" s="3">
        <v>45534</v>
      </c>
      <c r="I83" s="34">
        <v>400.29</v>
      </c>
      <c r="J83" s="13" t="str">
        <f t="shared" si="4"/>
        <v>No Discount</v>
      </c>
      <c r="K83" s="42">
        <f t="shared" ca="1" si="5"/>
        <v>46081.614984027779</v>
      </c>
      <c r="L83" s="41" t="str">
        <f>IF(Table1[Sales]&gt;1000,"High purchase","Normal purchase")</f>
        <v>High purchase</v>
      </c>
      <c r="M83" s="48">
        <f>Table1[[#This Row],[Profit]]/Table1[[#This Row],[Sales]]</f>
        <v>0.34999868845578785</v>
      </c>
    </row>
    <row r="84" spans="1:13" ht="18.600000000000001" thickBot="1" x14ac:dyDescent="0.55000000000000004">
      <c r="A84" s="4" t="s">
        <v>52</v>
      </c>
      <c r="B84" s="1" t="s">
        <v>50</v>
      </c>
      <c r="C84" s="1" t="s">
        <v>34</v>
      </c>
      <c r="D84" s="1" t="s">
        <v>21</v>
      </c>
      <c r="E84" s="30">
        <v>790.08</v>
      </c>
      <c r="F84" s="2">
        <v>7</v>
      </c>
      <c r="G84" s="2">
        <v>0.1</v>
      </c>
      <c r="H84" s="3">
        <v>45536</v>
      </c>
      <c r="I84" s="34">
        <v>177.77</v>
      </c>
      <c r="J84" s="13" t="str">
        <f t="shared" si="4"/>
        <v>Low Discount</v>
      </c>
      <c r="K84" s="42">
        <f t="shared" ca="1" si="5"/>
        <v>46081.614984027779</v>
      </c>
      <c r="L84" s="41" t="str">
        <f>IF(Table1[Sales]&gt;1000,"High purchase","Normal purchase")</f>
        <v>Normal purchase</v>
      </c>
      <c r="M84" s="48">
        <f>Table1[[#This Row],[Profit]]/Table1[[#This Row],[Sales]]</f>
        <v>0.22500253138922641</v>
      </c>
    </row>
    <row r="85" spans="1:13" ht="18.600000000000001" thickBot="1" x14ac:dyDescent="0.55000000000000004">
      <c r="A85" s="4" t="s">
        <v>19</v>
      </c>
      <c r="B85" s="1" t="s">
        <v>48</v>
      </c>
      <c r="C85" s="1" t="s">
        <v>34</v>
      </c>
      <c r="D85" s="1" t="s">
        <v>12</v>
      </c>
      <c r="E85" s="30">
        <v>1070.68</v>
      </c>
      <c r="F85" s="2">
        <v>7</v>
      </c>
      <c r="G85" s="2">
        <v>0.05</v>
      </c>
      <c r="H85" s="3">
        <v>45536</v>
      </c>
      <c r="I85" s="34">
        <v>406.86</v>
      </c>
      <c r="J85" s="13" t="str">
        <f t="shared" si="4"/>
        <v>Low Discount</v>
      </c>
      <c r="K85" s="42">
        <f t="shared" ca="1" si="5"/>
        <v>46081.614984027779</v>
      </c>
      <c r="L85" s="41" t="str">
        <f>IF(Table1[Sales]&gt;1000,"High purchase","Normal purchase")</f>
        <v>High purchase</v>
      </c>
      <c r="M85" s="48">
        <f>Table1[[#This Row],[Profit]]/Table1[[#This Row],[Sales]]</f>
        <v>0.38000149437740499</v>
      </c>
    </row>
    <row r="86" spans="1:13" ht="18.600000000000001" thickBot="1" x14ac:dyDescent="0.55000000000000004">
      <c r="A86" s="4" t="s">
        <v>58</v>
      </c>
      <c r="B86" s="1" t="s">
        <v>36</v>
      </c>
      <c r="C86" s="1" t="s">
        <v>11</v>
      </c>
      <c r="D86" s="1" t="s">
        <v>15</v>
      </c>
      <c r="E86" s="30">
        <v>1168.8900000000001</v>
      </c>
      <c r="F86" s="2">
        <v>4</v>
      </c>
      <c r="G86" s="2">
        <v>0.1</v>
      </c>
      <c r="H86" s="3">
        <v>45544</v>
      </c>
      <c r="I86" s="34">
        <v>526</v>
      </c>
      <c r="J86" s="13" t="str">
        <f t="shared" si="4"/>
        <v>Low Discount</v>
      </c>
      <c r="K86" s="42">
        <f t="shared" ca="1" si="5"/>
        <v>46081.614984027779</v>
      </c>
      <c r="L86" s="41" t="str">
        <f>IF(Table1[Sales]&gt;1000,"High purchase","Normal purchase")</f>
        <v>High purchase</v>
      </c>
      <c r="M86" s="48">
        <f>Table1[[#This Row],[Profit]]/Table1[[#This Row],[Sales]]</f>
        <v>0.44999957224375259</v>
      </c>
    </row>
    <row r="87" spans="1:13" ht="18.600000000000001" thickBot="1" x14ac:dyDescent="0.55000000000000004">
      <c r="A87" s="4" t="s">
        <v>67</v>
      </c>
      <c r="B87" s="1" t="s">
        <v>10</v>
      </c>
      <c r="C87" s="1" t="s">
        <v>20</v>
      </c>
      <c r="D87" s="1" t="s">
        <v>21</v>
      </c>
      <c r="E87" s="30">
        <v>1335.87</v>
      </c>
      <c r="F87" s="2">
        <v>17</v>
      </c>
      <c r="G87" s="2">
        <v>0</v>
      </c>
      <c r="H87" s="3">
        <v>45544</v>
      </c>
      <c r="I87" s="34">
        <v>333.97</v>
      </c>
      <c r="J87" s="13" t="str">
        <f t="shared" si="4"/>
        <v>No Discount</v>
      </c>
      <c r="K87" s="42">
        <f t="shared" ca="1" si="5"/>
        <v>46081.614984027779</v>
      </c>
      <c r="L87" s="41" t="str">
        <f>IF(Table1[Sales]&gt;1000,"High purchase","Normal purchase")</f>
        <v>High purchase</v>
      </c>
      <c r="M87" s="48">
        <f>Table1[[#This Row],[Profit]]/Table1[[#This Row],[Sales]]</f>
        <v>0.25000187143958624</v>
      </c>
    </row>
    <row r="88" spans="1:13" ht="18.600000000000001" thickBot="1" x14ac:dyDescent="0.55000000000000004">
      <c r="A88" s="4" t="s">
        <v>40</v>
      </c>
      <c r="B88" s="1" t="s">
        <v>55</v>
      </c>
      <c r="C88" s="1" t="s">
        <v>18</v>
      </c>
      <c r="D88" s="1" t="s">
        <v>27</v>
      </c>
      <c r="E88" s="30">
        <v>873.7</v>
      </c>
      <c r="F88" s="2">
        <v>9</v>
      </c>
      <c r="G88" s="2">
        <v>0</v>
      </c>
      <c r="H88" s="3">
        <v>45546</v>
      </c>
      <c r="I88" s="34">
        <v>305.8</v>
      </c>
      <c r="J88" s="13" t="str">
        <f t="shared" si="4"/>
        <v>No Discount</v>
      </c>
      <c r="K88" s="42">
        <f t="shared" ca="1" si="5"/>
        <v>46081.614984027779</v>
      </c>
      <c r="L88" s="41" t="str">
        <f>IF(Table1[Sales]&gt;1000,"High purchase","Normal purchase")</f>
        <v>Normal purchase</v>
      </c>
      <c r="M88" s="48">
        <f>Table1[[#This Row],[Profit]]/Table1[[#This Row],[Sales]]</f>
        <v>0.3500057227881424</v>
      </c>
    </row>
    <row r="89" spans="1:13" ht="18.600000000000001" thickBot="1" x14ac:dyDescent="0.55000000000000004">
      <c r="A89" s="4" t="s">
        <v>72</v>
      </c>
      <c r="B89" s="1" t="s">
        <v>64</v>
      </c>
      <c r="C89" s="1" t="s">
        <v>11</v>
      </c>
      <c r="D89" s="1" t="s">
        <v>39</v>
      </c>
      <c r="E89" s="30">
        <v>1443.98</v>
      </c>
      <c r="F89" s="2">
        <v>19</v>
      </c>
      <c r="G89" s="2">
        <v>0</v>
      </c>
      <c r="H89" s="3">
        <v>45547</v>
      </c>
      <c r="I89" s="34">
        <v>649.79</v>
      </c>
      <c r="J89" s="13" t="str">
        <f t="shared" si="4"/>
        <v>No Discount</v>
      </c>
      <c r="K89" s="42">
        <f t="shared" ca="1" si="5"/>
        <v>46081.614984027779</v>
      </c>
      <c r="L89" s="41" t="str">
        <f>IF(Table1[Sales]&gt;1000,"High purchase","Normal purchase")</f>
        <v>High purchase</v>
      </c>
      <c r="M89" s="48">
        <f>Table1[[#This Row],[Profit]]/Table1[[#This Row],[Sales]]</f>
        <v>0.44999930746963251</v>
      </c>
    </row>
    <row r="90" spans="1:13" ht="18.600000000000001" thickBot="1" x14ac:dyDescent="0.55000000000000004">
      <c r="A90" s="4" t="s">
        <v>40</v>
      </c>
      <c r="B90" s="1" t="s">
        <v>23</v>
      </c>
      <c r="C90" s="1" t="s">
        <v>18</v>
      </c>
      <c r="D90" s="1" t="s">
        <v>39</v>
      </c>
      <c r="E90" s="30">
        <v>1154.33</v>
      </c>
      <c r="F90" s="2">
        <v>11</v>
      </c>
      <c r="G90" s="2">
        <v>0.15</v>
      </c>
      <c r="H90" s="3">
        <v>45549</v>
      </c>
      <c r="I90" s="34">
        <v>441.53</v>
      </c>
      <c r="J90" s="13" t="str">
        <f t="shared" si="4"/>
        <v>Medium Discount</v>
      </c>
      <c r="K90" s="42">
        <f t="shared" ca="1" si="5"/>
        <v>46081.614984027779</v>
      </c>
      <c r="L90" s="41" t="str">
        <f>IF(Table1[Sales]&gt;1000,"High purchase","Normal purchase")</f>
        <v>High purchase</v>
      </c>
      <c r="M90" s="48">
        <f>Table1[[#This Row],[Profit]]/Table1[[#This Row],[Sales]]</f>
        <v>0.38249893877833896</v>
      </c>
    </row>
    <row r="91" spans="1:13" ht="18.600000000000001" thickBot="1" x14ac:dyDescent="0.55000000000000004">
      <c r="A91" s="4" t="s">
        <v>49</v>
      </c>
      <c r="B91" s="1" t="s">
        <v>50</v>
      </c>
      <c r="C91" s="1" t="s">
        <v>20</v>
      </c>
      <c r="D91" s="1" t="s">
        <v>12</v>
      </c>
      <c r="E91" s="30">
        <v>1264.49</v>
      </c>
      <c r="F91" s="2">
        <v>16</v>
      </c>
      <c r="G91" s="2">
        <v>0.05</v>
      </c>
      <c r="H91" s="3">
        <v>45549</v>
      </c>
      <c r="I91" s="34">
        <v>480.51</v>
      </c>
      <c r="J91" s="13" t="str">
        <f t="shared" si="4"/>
        <v>Low Discount</v>
      </c>
      <c r="K91" s="42">
        <f t="shared" ca="1" si="5"/>
        <v>46081.614984027779</v>
      </c>
      <c r="L91" s="41" t="str">
        <f>IF(Table1[Sales]&gt;1000,"High purchase","Normal purchase")</f>
        <v>High purchase</v>
      </c>
      <c r="M91" s="48">
        <f>Table1[[#This Row],[Profit]]/Table1[[#This Row],[Sales]]</f>
        <v>0.38000300516413732</v>
      </c>
    </row>
    <row r="92" spans="1:13" ht="18.600000000000001" thickBot="1" x14ac:dyDescent="0.55000000000000004">
      <c r="A92" s="4" t="s">
        <v>25</v>
      </c>
      <c r="B92" s="1" t="s">
        <v>66</v>
      </c>
      <c r="C92" s="1" t="s">
        <v>11</v>
      </c>
      <c r="D92" s="1" t="s">
        <v>27</v>
      </c>
      <c r="E92" s="30">
        <v>1101.55</v>
      </c>
      <c r="F92" s="2">
        <v>4</v>
      </c>
      <c r="G92" s="2">
        <v>0.1</v>
      </c>
      <c r="H92" s="3">
        <v>45551</v>
      </c>
      <c r="I92" s="34">
        <v>346.99</v>
      </c>
      <c r="J92" s="13" t="str">
        <f t="shared" si="4"/>
        <v>Low Discount</v>
      </c>
      <c r="K92" s="42">
        <f t="shared" ca="1" si="5"/>
        <v>46081.614984027779</v>
      </c>
      <c r="L92" s="41" t="str">
        <f>IF(Table1[Sales]&gt;1000,"High purchase","Normal purchase")</f>
        <v>High purchase</v>
      </c>
      <c r="M92" s="48">
        <f>Table1[[#This Row],[Profit]]/Table1[[#This Row],[Sales]]</f>
        <v>0.31500158867050976</v>
      </c>
    </row>
    <row r="93" spans="1:13" ht="18.600000000000001" thickBot="1" x14ac:dyDescent="0.55000000000000004">
      <c r="A93" s="4" t="s">
        <v>73</v>
      </c>
      <c r="B93" s="1" t="s">
        <v>14</v>
      </c>
      <c r="C93" s="1" t="s">
        <v>20</v>
      </c>
      <c r="D93" s="1" t="s">
        <v>27</v>
      </c>
      <c r="E93" s="30">
        <v>727.73</v>
      </c>
      <c r="F93" s="2">
        <v>1</v>
      </c>
      <c r="G93" s="2">
        <v>0.1</v>
      </c>
      <c r="H93" s="3">
        <v>45552</v>
      </c>
      <c r="I93" s="34">
        <v>229.23</v>
      </c>
      <c r="J93" s="13" t="str">
        <f t="shared" si="4"/>
        <v>Low Discount</v>
      </c>
      <c r="K93" s="42">
        <f t="shared" ca="1" si="5"/>
        <v>46081.614984027779</v>
      </c>
      <c r="L93" s="41" t="str">
        <f>IF(Table1[Sales]&gt;1000,"High purchase","Normal purchase")</f>
        <v>Normal purchase</v>
      </c>
      <c r="M93" s="48">
        <f>Table1[[#This Row],[Profit]]/Table1[[#This Row],[Sales]]</f>
        <v>0.31499319802674064</v>
      </c>
    </row>
    <row r="94" spans="1:13" ht="18.600000000000001" thickBot="1" x14ac:dyDescent="0.55000000000000004">
      <c r="A94" s="4" t="s">
        <v>74</v>
      </c>
      <c r="B94" s="1" t="s">
        <v>38</v>
      </c>
      <c r="C94" s="1" t="s">
        <v>18</v>
      </c>
      <c r="D94" s="1" t="s">
        <v>39</v>
      </c>
      <c r="E94" s="30">
        <v>875.41</v>
      </c>
      <c r="F94" s="2">
        <v>13</v>
      </c>
      <c r="G94" s="2">
        <v>0.15</v>
      </c>
      <c r="H94" s="3">
        <v>45552</v>
      </c>
      <c r="I94" s="34">
        <v>334.84</v>
      </c>
      <c r="J94" s="13" t="str">
        <f t="shared" si="4"/>
        <v>Medium Discount</v>
      </c>
      <c r="K94" s="42">
        <f t="shared" ca="1" si="5"/>
        <v>46081.614984027779</v>
      </c>
      <c r="L94" s="41" t="str">
        <f>IF(Table1[Sales]&gt;1000,"High purchase","Normal purchase")</f>
        <v>Normal purchase</v>
      </c>
      <c r="M94" s="48">
        <f>Table1[[#This Row],[Profit]]/Table1[[#This Row],[Sales]]</f>
        <v>0.382495059457854</v>
      </c>
    </row>
    <row r="95" spans="1:13" ht="18.600000000000001" thickBot="1" x14ac:dyDescent="0.55000000000000004">
      <c r="A95" s="4" t="s">
        <v>67</v>
      </c>
      <c r="B95" s="1" t="s">
        <v>23</v>
      </c>
      <c r="C95" s="1" t="s">
        <v>11</v>
      </c>
      <c r="D95" s="1" t="s">
        <v>21</v>
      </c>
      <c r="E95" s="30">
        <v>1158.94</v>
      </c>
      <c r="F95" s="2">
        <v>19</v>
      </c>
      <c r="G95" s="2">
        <v>0.2</v>
      </c>
      <c r="H95" s="3">
        <v>45553</v>
      </c>
      <c r="I95" s="34">
        <v>231.79</v>
      </c>
      <c r="J95" s="13" t="str">
        <f t="shared" si="4"/>
        <v>High Discount</v>
      </c>
      <c r="K95" s="42">
        <f t="shared" ca="1" si="5"/>
        <v>46081.614984027779</v>
      </c>
      <c r="L95" s="41" t="str">
        <f>IF(Table1[Sales]&gt;1000,"High purchase","Normal purchase")</f>
        <v>High purchase</v>
      </c>
      <c r="M95" s="48">
        <f>Table1[[#This Row],[Profit]]/Table1[[#This Row],[Sales]]</f>
        <v>0.20000172571487737</v>
      </c>
    </row>
    <row r="96" spans="1:13" ht="18.600000000000001" thickBot="1" x14ac:dyDescent="0.55000000000000004">
      <c r="A96" s="4" t="s">
        <v>75</v>
      </c>
      <c r="B96" s="1" t="s">
        <v>47</v>
      </c>
      <c r="C96" s="1" t="s">
        <v>20</v>
      </c>
      <c r="D96" s="1" t="s">
        <v>12</v>
      </c>
      <c r="E96" s="30">
        <v>966.3</v>
      </c>
      <c r="F96" s="2">
        <v>2</v>
      </c>
      <c r="G96" s="2">
        <v>0.15</v>
      </c>
      <c r="H96" s="3">
        <v>45557</v>
      </c>
      <c r="I96" s="34">
        <v>328.54</v>
      </c>
      <c r="J96" s="13" t="str">
        <f t="shared" si="4"/>
        <v>Medium Discount</v>
      </c>
      <c r="K96" s="42">
        <f t="shared" ca="1" si="5"/>
        <v>46081.614984027779</v>
      </c>
      <c r="L96" s="41" t="str">
        <f>IF(Table1[Sales]&gt;1000,"High purchase","Normal purchase")</f>
        <v>Normal purchase</v>
      </c>
      <c r="M96" s="48">
        <f>Table1[[#This Row],[Profit]]/Table1[[#This Row],[Sales]]</f>
        <v>0.339997930249405</v>
      </c>
    </row>
    <row r="97" spans="1:13" ht="18.600000000000001" thickBot="1" x14ac:dyDescent="0.55000000000000004">
      <c r="A97" s="4" t="s">
        <v>68</v>
      </c>
      <c r="B97" s="1" t="s">
        <v>17</v>
      </c>
      <c r="C97" s="1" t="s">
        <v>20</v>
      </c>
      <c r="D97" s="1" t="s">
        <v>12</v>
      </c>
      <c r="E97" s="30">
        <v>917.48</v>
      </c>
      <c r="F97" s="2">
        <v>6</v>
      </c>
      <c r="G97" s="2">
        <v>0</v>
      </c>
      <c r="H97" s="3">
        <v>45558</v>
      </c>
      <c r="I97" s="34">
        <v>366.99</v>
      </c>
      <c r="J97" s="13" t="str">
        <f t="shared" si="4"/>
        <v>No Discount</v>
      </c>
      <c r="K97" s="42">
        <f t="shared" ca="1" si="5"/>
        <v>46081.614984027779</v>
      </c>
      <c r="L97" s="41" t="str">
        <f>IF(Table1[Sales]&gt;1000,"High purchase","Normal purchase")</f>
        <v>Normal purchase</v>
      </c>
      <c r="M97" s="48">
        <f>Table1[[#This Row],[Profit]]/Table1[[#This Row],[Sales]]</f>
        <v>0.39999782011596985</v>
      </c>
    </row>
    <row r="98" spans="1:13" ht="18.600000000000001" thickBot="1" x14ac:dyDescent="0.55000000000000004">
      <c r="A98" s="4" t="s">
        <v>41</v>
      </c>
      <c r="B98" s="1" t="s">
        <v>61</v>
      </c>
      <c r="C98" s="1" t="s">
        <v>11</v>
      </c>
      <c r="D98" s="1" t="s">
        <v>27</v>
      </c>
      <c r="E98" s="30">
        <v>1172.97</v>
      </c>
      <c r="F98" s="2">
        <v>7</v>
      </c>
      <c r="G98" s="2">
        <v>0.15</v>
      </c>
      <c r="H98" s="3">
        <v>45559</v>
      </c>
      <c r="I98" s="34">
        <v>348.96</v>
      </c>
      <c r="J98" s="13" t="str">
        <f t="shared" ref="J98:J129" si="6">_xlfn.IFS(G98=0,"No Discount", G98&lt;=0.1,"Low Discount",G98&lt;=0.15,"Medium Discount",G98&gt;0.15,"High Discount")</f>
        <v>Medium Discount</v>
      </c>
      <c r="K98" s="42">
        <f t="shared" ref="K98:K129" ca="1" si="7">NOW()</f>
        <v>46081.614984027779</v>
      </c>
      <c r="L98" s="41" t="str">
        <f>IF(Table1[Sales]&gt;1000,"High purchase","Normal purchase")</f>
        <v>High purchase</v>
      </c>
      <c r="M98" s="48">
        <f>Table1[[#This Row],[Profit]]/Table1[[#This Row],[Sales]]</f>
        <v>0.29750121486483028</v>
      </c>
    </row>
    <row r="99" spans="1:13" ht="18.600000000000001" thickBot="1" x14ac:dyDescent="0.55000000000000004">
      <c r="A99" s="4" t="s">
        <v>57</v>
      </c>
      <c r="B99" s="1" t="s">
        <v>23</v>
      </c>
      <c r="C99" s="1" t="s">
        <v>24</v>
      </c>
      <c r="D99" s="1" t="s">
        <v>15</v>
      </c>
      <c r="E99" s="30">
        <v>1205.82</v>
      </c>
      <c r="F99" s="2">
        <v>11</v>
      </c>
      <c r="G99" s="2">
        <v>0.1</v>
      </c>
      <c r="H99" s="3">
        <v>45559</v>
      </c>
      <c r="I99" s="34">
        <v>542.62</v>
      </c>
      <c r="J99" s="13" t="str">
        <f t="shared" si="6"/>
        <v>Low Discount</v>
      </c>
      <c r="K99" s="42">
        <f t="shared" ca="1" si="7"/>
        <v>46081.614984027779</v>
      </c>
      <c r="L99" s="41" t="str">
        <f>IF(Table1[Sales]&gt;1000,"High purchase","Normal purchase")</f>
        <v>High purchase</v>
      </c>
      <c r="M99" s="48">
        <f>Table1[[#This Row],[Profit]]/Table1[[#This Row],[Sales]]</f>
        <v>0.45000082931117419</v>
      </c>
    </row>
    <row r="100" spans="1:13" ht="18.600000000000001" thickBot="1" x14ac:dyDescent="0.55000000000000004">
      <c r="A100" s="4" t="s">
        <v>16</v>
      </c>
      <c r="B100" s="1" t="s">
        <v>64</v>
      </c>
      <c r="C100" s="1" t="s">
        <v>11</v>
      </c>
      <c r="D100" s="1" t="s">
        <v>39</v>
      </c>
      <c r="E100" s="30">
        <v>826.93</v>
      </c>
      <c r="F100" s="2">
        <v>10</v>
      </c>
      <c r="G100" s="2">
        <v>0.2</v>
      </c>
      <c r="H100" s="3">
        <v>45564</v>
      </c>
      <c r="I100" s="34">
        <v>297.69</v>
      </c>
      <c r="J100" s="13" t="str">
        <f t="shared" si="6"/>
        <v>High Discount</v>
      </c>
      <c r="K100" s="42">
        <f t="shared" ca="1" si="7"/>
        <v>46081.614984027779</v>
      </c>
      <c r="L100" s="41" t="str">
        <f>IF(Table1[Sales]&gt;1000,"High purchase","Normal purchase")</f>
        <v>Normal purchase</v>
      </c>
      <c r="M100" s="48">
        <f>Table1[[#This Row],[Profit]]/Table1[[#This Row],[Sales]]</f>
        <v>0.35999419539743388</v>
      </c>
    </row>
    <row r="101" spans="1:13" ht="18.600000000000001" thickBot="1" x14ac:dyDescent="0.55000000000000004">
      <c r="A101" s="4" t="s">
        <v>67</v>
      </c>
      <c r="B101" s="1" t="s">
        <v>23</v>
      </c>
      <c r="C101" s="1" t="s">
        <v>34</v>
      </c>
      <c r="D101" s="1" t="s">
        <v>15</v>
      </c>
      <c r="E101" s="30">
        <v>902.19</v>
      </c>
      <c r="F101" s="2">
        <v>12</v>
      </c>
      <c r="G101" s="2">
        <v>0</v>
      </c>
      <c r="H101" s="3">
        <v>45564</v>
      </c>
      <c r="I101" s="34">
        <v>451.1</v>
      </c>
      <c r="J101" s="13" t="str">
        <f t="shared" si="6"/>
        <v>No Discount</v>
      </c>
      <c r="K101" s="42">
        <f t="shared" ca="1" si="7"/>
        <v>46081.614984027779</v>
      </c>
      <c r="L101" s="41" t="str">
        <f>IF(Table1[Sales]&gt;1000,"High purchase","Normal purchase")</f>
        <v>Normal purchase</v>
      </c>
      <c r="M101" s="48">
        <f>Table1[[#This Row],[Profit]]/Table1[[#This Row],[Sales]]</f>
        <v>0.50000554206985226</v>
      </c>
    </row>
    <row r="102" spans="1:13" ht="18.600000000000001" thickBot="1" x14ac:dyDescent="0.55000000000000004">
      <c r="A102" s="4" t="s">
        <v>74</v>
      </c>
      <c r="B102" s="1" t="s">
        <v>38</v>
      </c>
      <c r="C102" s="1" t="s">
        <v>24</v>
      </c>
      <c r="D102" s="1" t="s">
        <v>12</v>
      </c>
      <c r="E102" s="30">
        <v>585.97</v>
      </c>
      <c r="F102" s="2">
        <v>17</v>
      </c>
      <c r="G102" s="2">
        <v>0.1</v>
      </c>
      <c r="H102" s="3">
        <v>45565</v>
      </c>
      <c r="I102" s="34">
        <v>210.95</v>
      </c>
      <c r="J102" s="13" t="str">
        <f t="shared" si="6"/>
        <v>Low Discount</v>
      </c>
      <c r="K102" s="42">
        <f t="shared" ca="1" si="7"/>
        <v>46081.614984027779</v>
      </c>
      <c r="L102" s="41" t="str">
        <f>IF(Table1[Sales]&gt;1000,"High purchase","Normal purchase")</f>
        <v>Normal purchase</v>
      </c>
      <c r="M102" s="48">
        <f>Table1[[#This Row],[Profit]]/Table1[[#This Row],[Sales]]</f>
        <v>0.36000136525760701</v>
      </c>
    </row>
    <row r="103" spans="1:13" ht="18.600000000000001" thickBot="1" x14ac:dyDescent="0.55000000000000004">
      <c r="A103" s="4" t="s">
        <v>60</v>
      </c>
      <c r="B103" s="1" t="s">
        <v>26</v>
      </c>
      <c r="C103" s="1" t="s">
        <v>24</v>
      </c>
      <c r="D103" s="1" t="s">
        <v>15</v>
      </c>
      <c r="E103" s="30">
        <v>990.19</v>
      </c>
      <c r="F103" s="2">
        <v>8</v>
      </c>
      <c r="G103" s="2">
        <v>0.1</v>
      </c>
      <c r="H103" s="3">
        <v>45565</v>
      </c>
      <c r="I103" s="34">
        <v>445.59</v>
      </c>
      <c r="J103" s="13" t="str">
        <f t="shared" si="6"/>
        <v>Low Discount</v>
      </c>
      <c r="K103" s="42">
        <f t="shared" ca="1" si="7"/>
        <v>46081.614984027779</v>
      </c>
      <c r="L103" s="41" t="str">
        <f>IF(Table1[Sales]&gt;1000,"High purchase","Normal purchase")</f>
        <v>Normal purchase</v>
      </c>
      <c r="M103" s="48">
        <f>Table1[[#This Row],[Profit]]/Table1[[#This Row],[Sales]]</f>
        <v>0.45000454458235284</v>
      </c>
    </row>
    <row r="104" spans="1:13" ht="18.600000000000001" thickBot="1" x14ac:dyDescent="0.55000000000000004">
      <c r="A104" s="4" t="s">
        <v>44</v>
      </c>
      <c r="B104" s="1" t="s">
        <v>56</v>
      </c>
      <c r="C104" s="1" t="s">
        <v>34</v>
      </c>
      <c r="D104" s="1" t="s">
        <v>21</v>
      </c>
      <c r="E104" s="30">
        <v>1014.09</v>
      </c>
      <c r="F104" s="2">
        <v>13</v>
      </c>
      <c r="G104" s="2">
        <v>0.2</v>
      </c>
      <c r="H104" s="3">
        <v>45567</v>
      </c>
      <c r="I104" s="34">
        <v>202.82</v>
      </c>
      <c r="J104" s="13" t="str">
        <f t="shared" si="6"/>
        <v>High Discount</v>
      </c>
      <c r="K104" s="42">
        <f t="shared" ca="1" si="7"/>
        <v>46081.614984027779</v>
      </c>
      <c r="L104" s="41" t="str">
        <f>IF(Table1[Sales]&gt;1000,"High purchase","Normal purchase")</f>
        <v>High purchase</v>
      </c>
      <c r="M104" s="48">
        <f>Table1[[#This Row],[Profit]]/Table1[[#This Row],[Sales]]</f>
        <v>0.2000019722115394</v>
      </c>
    </row>
    <row r="105" spans="1:13" ht="18.600000000000001" thickBot="1" x14ac:dyDescent="0.55000000000000004">
      <c r="A105" s="4" t="s">
        <v>13</v>
      </c>
      <c r="B105" s="1" t="s">
        <v>48</v>
      </c>
      <c r="C105" s="1" t="s">
        <v>24</v>
      </c>
      <c r="D105" s="1" t="s">
        <v>21</v>
      </c>
      <c r="E105" s="30">
        <v>925.29</v>
      </c>
      <c r="F105" s="2">
        <v>17</v>
      </c>
      <c r="G105" s="2">
        <v>0</v>
      </c>
      <c r="H105" s="3">
        <v>45570</v>
      </c>
      <c r="I105" s="34">
        <v>231.32</v>
      </c>
      <c r="J105" s="13" t="str">
        <f t="shared" si="6"/>
        <v>No Discount</v>
      </c>
      <c r="K105" s="42">
        <f t="shared" ca="1" si="7"/>
        <v>46081.614984027779</v>
      </c>
      <c r="L105" s="41" t="str">
        <f>IF(Table1[Sales]&gt;1000,"High purchase","Normal purchase")</f>
        <v>Normal purchase</v>
      </c>
      <c r="M105" s="48">
        <f>Table1[[#This Row],[Profit]]/Table1[[#This Row],[Sales]]</f>
        <v>0.24999729814436555</v>
      </c>
    </row>
    <row r="106" spans="1:13" ht="18.600000000000001" thickBot="1" x14ac:dyDescent="0.55000000000000004">
      <c r="A106" s="4" t="s">
        <v>54</v>
      </c>
      <c r="B106" s="1" t="s">
        <v>47</v>
      </c>
      <c r="C106" s="1" t="s">
        <v>18</v>
      </c>
      <c r="D106" s="1" t="s">
        <v>27</v>
      </c>
      <c r="E106" s="30">
        <v>1286.54</v>
      </c>
      <c r="F106" s="2">
        <v>8</v>
      </c>
      <c r="G106" s="2">
        <v>0</v>
      </c>
      <c r="H106" s="3">
        <v>45575</v>
      </c>
      <c r="I106" s="34">
        <v>450.29</v>
      </c>
      <c r="J106" s="13" t="str">
        <f t="shared" si="6"/>
        <v>No Discount</v>
      </c>
      <c r="K106" s="42">
        <f t="shared" ca="1" si="7"/>
        <v>46081.614984027779</v>
      </c>
      <c r="L106" s="41" t="str">
        <f>IF(Table1[Sales]&gt;1000,"High purchase","Normal purchase")</f>
        <v>High purchase</v>
      </c>
      <c r="M106" s="48">
        <f>Table1[[#This Row],[Profit]]/Table1[[#This Row],[Sales]]</f>
        <v>0.35000077727859225</v>
      </c>
    </row>
    <row r="107" spans="1:13" ht="18.600000000000001" thickBot="1" x14ac:dyDescent="0.55000000000000004">
      <c r="A107" s="4" t="s">
        <v>37</v>
      </c>
      <c r="B107" s="1" t="s">
        <v>64</v>
      </c>
      <c r="C107" s="1" t="s">
        <v>20</v>
      </c>
      <c r="D107" s="1" t="s">
        <v>12</v>
      </c>
      <c r="E107" s="30">
        <v>961.62</v>
      </c>
      <c r="F107" s="2">
        <v>8</v>
      </c>
      <c r="G107" s="2">
        <v>0.2</v>
      </c>
      <c r="H107" s="3">
        <v>45577</v>
      </c>
      <c r="I107" s="34">
        <v>307.72000000000003</v>
      </c>
      <c r="J107" s="13" t="str">
        <f t="shared" si="6"/>
        <v>High Discount</v>
      </c>
      <c r="K107" s="42">
        <f t="shared" ca="1" si="7"/>
        <v>46081.614984027779</v>
      </c>
      <c r="L107" s="41" t="str">
        <f>IF(Table1[Sales]&gt;1000,"High purchase","Normal purchase")</f>
        <v>Normal purchase</v>
      </c>
      <c r="M107" s="48">
        <f>Table1[[#This Row],[Profit]]/Table1[[#This Row],[Sales]]</f>
        <v>0.32000166385890477</v>
      </c>
    </row>
    <row r="108" spans="1:13" ht="18.600000000000001" thickBot="1" x14ac:dyDescent="0.55000000000000004">
      <c r="A108" s="4" t="s">
        <v>44</v>
      </c>
      <c r="B108" s="1" t="s">
        <v>23</v>
      </c>
      <c r="C108" s="1" t="s">
        <v>18</v>
      </c>
      <c r="D108" s="1" t="s">
        <v>12</v>
      </c>
      <c r="E108" s="30">
        <v>1081.1400000000001</v>
      </c>
      <c r="F108" s="2">
        <v>19</v>
      </c>
      <c r="G108" s="2">
        <v>0.15</v>
      </c>
      <c r="H108" s="3">
        <v>45577</v>
      </c>
      <c r="I108" s="34">
        <v>367.59</v>
      </c>
      <c r="J108" s="13" t="str">
        <f t="shared" si="6"/>
        <v>Medium Discount</v>
      </c>
      <c r="K108" s="42">
        <f t="shared" ca="1" si="7"/>
        <v>46081.614984027779</v>
      </c>
      <c r="L108" s="41" t="str">
        <f>IF(Table1[Sales]&gt;1000,"High purchase","Normal purchase")</f>
        <v>High purchase</v>
      </c>
      <c r="M108" s="48">
        <f>Table1[[#This Row],[Profit]]/Table1[[#This Row],[Sales]]</f>
        <v>0.34000221987901652</v>
      </c>
    </row>
    <row r="109" spans="1:13" ht="18.600000000000001" thickBot="1" x14ac:dyDescent="0.55000000000000004">
      <c r="A109" s="4" t="s">
        <v>58</v>
      </c>
      <c r="B109" s="1" t="s">
        <v>23</v>
      </c>
      <c r="C109" s="1" t="s">
        <v>11</v>
      </c>
      <c r="D109" s="1" t="s">
        <v>15</v>
      </c>
      <c r="E109" s="30">
        <v>1923.66</v>
      </c>
      <c r="F109" s="2">
        <v>9</v>
      </c>
      <c r="G109" s="2">
        <v>0.2</v>
      </c>
      <c r="H109" s="3">
        <v>45580</v>
      </c>
      <c r="I109" s="34">
        <v>769.46</v>
      </c>
      <c r="J109" s="13" t="str">
        <f t="shared" si="6"/>
        <v>High Discount</v>
      </c>
      <c r="K109" s="42">
        <f t="shared" ca="1" si="7"/>
        <v>46081.614984027779</v>
      </c>
      <c r="L109" s="41" t="str">
        <f>IF(Table1[Sales]&gt;1000,"High purchase","Normal purchase")</f>
        <v>High purchase</v>
      </c>
      <c r="M109" s="48">
        <f>Table1[[#This Row],[Profit]]/Table1[[#This Row],[Sales]]</f>
        <v>0.39999792063046485</v>
      </c>
    </row>
    <row r="110" spans="1:13" ht="18.600000000000001" thickBot="1" x14ac:dyDescent="0.55000000000000004">
      <c r="A110" s="4" t="s">
        <v>54</v>
      </c>
      <c r="B110" s="1" t="s">
        <v>66</v>
      </c>
      <c r="C110" s="1" t="s">
        <v>34</v>
      </c>
      <c r="D110" s="1" t="s">
        <v>15</v>
      </c>
      <c r="E110" s="30">
        <v>728.71</v>
      </c>
      <c r="F110" s="2">
        <v>14</v>
      </c>
      <c r="G110" s="2">
        <v>0.1</v>
      </c>
      <c r="H110" s="3">
        <v>45581</v>
      </c>
      <c r="I110" s="34">
        <v>327.92</v>
      </c>
      <c r="J110" s="13" t="str">
        <f t="shared" si="6"/>
        <v>Low Discount</v>
      </c>
      <c r="K110" s="42">
        <f t="shared" ca="1" si="7"/>
        <v>46081.614984027779</v>
      </c>
      <c r="L110" s="41" t="str">
        <f>IF(Table1[Sales]&gt;1000,"High purchase","Normal purchase")</f>
        <v>Normal purchase</v>
      </c>
      <c r="M110" s="48">
        <f>Table1[[#This Row],[Profit]]/Table1[[#This Row],[Sales]]</f>
        <v>0.4500006861440079</v>
      </c>
    </row>
    <row r="111" spans="1:13" ht="18.600000000000001" thickBot="1" x14ac:dyDescent="0.55000000000000004">
      <c r="A111" s="4" t="s">
        <v>9</v>
      </c>
      <c r="B111" s="1" t="s">
        <v>33</v>
      </c>
      <c r="C111" s="1" t="s">
        <v>34</v>
      </c>
      <c r="D111" s="1" t="s">
        <v>15</v>
      </c>
      <c r="E111" s="30">
        <v>1301.8900000000001</v>
      </c>
      <c r="F111" s="2">
        <v>7</v>
      </c>
      <c r="G111" s="2">
        <v>0.15</v>
      </c>
      <c r="H111" s="3">
        <v>45581</v>
      </c>
      <c r="I111" s="34">
        <v>553.29999999999995</v>
      </c>
      <c r="J111" s="13" t="str">
        <f t="shared" si="6"/>
        <v>Medium Discount</v>
      </c>
      <c r="K111" s="42">
        <f t="shared" ca="1" si="7"/>
        <v>46081.614984027779</v>
      </c>
      <c r="L111" s="41" t="str">
        <f>IF(Table1[Sales]&gt;1000,"High purchase","Normal purchase")</f>
        <v>High purchase</v>
      </c>
      <c r="M111" s="48">
        <f>Table1[[#This Row],[Profit]]/Table1[[#This Row],[Sales]]</f>
        <v>0.4249975036293388</v>
      </c>
    </row>
    <row r="112" spans="1:13" ht="18.600000000000001" thickBot="1" x14ac:dyDescent="0.55000000000000004">
      <c r="A112" s="4" t="s">
        <v>70</v>
      </c>
      <c r="B112" s="1" t="s">
        <v>66</v>
      </c>
      <c r="C112" s="1" t="s">
        <v>18</v>
      </c>
      <c r="D112" s="1" t="s">
        <v>12</v>
      </c>
      <c r="E112" s="30">
        <v>980.18</v>
      </c>
      <c r="F112" s="2">
        <v>16</v>
      </c>
      <c r="G112" s="2">
        <v>0.1</v>
      </c>
      <c r="H112" s="3">
        <v>45582</v>
      </c>
      <c r="I112" s="34">
        <v>352.86</v>
      </c>
      <c r="J112" s="13" t="str">
        <f t="shared" si="6"/>
        <v>Low Discount</v>
      </c>
      <c r="K112" s="42">
        <f t="shared" ca="1" si="7"/>
        <v>46081.614984027779</v>
      </c>
      <c r="L112" s="41" t="str">
        <f>IF(Table1[Sales]&gt;1000,"High purchase","Normal purchase")</f>
        <v>Normal purchase</v>
      </c>
      <c r="M112" s="48">
        <f>Table1[[#This Row],[Profit]]/Table1[[#This Row],[Sales]]</f>
        <v>0.35999510294027631</v>
      </c>
    </row>
    <row r="113" spans="1:13" ht="18.600000000000001" thickBot="1" x14ac:dyDescent="0.55000000000000004">
      <c r="A113" s="4" t="s">
        <v>74</v>
      </c>
      <c r="B113" s="1" t="s">
        <v>23</v>
      </c>
      <c r="C113" s="1" t="s">
        <v>11</v>
      </c>
      <c r="D113" s="1" t="s">
        <v>15</v>
      </c>
      <c r="E113" s="30">
        <v>697.57</v>
      </c>
      <c r="F113" s="2">
        <v>17</v>
      </c>
      <c r="G113" s="2">
        <v>0.1</v>
      </c>
      <c r="H113" s="3">
        <v>45584</v>
      </c>
      <c r="I113" s="34">
        <v>313.91000000000003</v>
      </c>
      <c r="J113" s="13" t="str">
        <f t="shared" si="6"/>
        <v>Low Discount</v>
      </c>
      <c r="K113" s="42">
        <f t="shared" ca="1" si="7"/>
        <v>46081.614984027779</v>
      </c>
      <c r="L113" s="41" t="str">
        <f>IF(Table1[Sales]&gt;1000,"High purchase","Normal purchase")</f>
        <v>Normal purchase</v>
      </c>
      <c r="M113" s="48">
        <f>Table1[[#This Row],[Profit]]/Table1[[#This Row],[Sales]]</f>
        <v>0.45000501741760685</v>
      </c>
    </row>
    <row r="114" spans="1:13" ht="18.600000000000001" thickBot="1" x14ac:dyDescent="0.55000000000000004">
      <c r="A114" s="4" t="s">
        <v>46</v>
      </c>
      <c r="B114" s="1" t="s">
        <v>71</v>
      </c>
      <c r="C114" s="1" t="s">
        <v>11</v>
      </c>
      <c r="D114" s="1" t="s">
        <v>27</v>
      </c>
      <c r="E114" s="30">
        <v>1193.6099999999999</v>
      </c>
      <c r="F114" s="2">
        <v>1</v>
      </c>
      <c r="G114" s="2">
        <v>0.15</v>
      </c>
      <c r="H114" s="3">
        <v>45584</v>
      </c>
      <c r="I114" s="34">
        <v>355.1</v>
      </c>
      <c r="J114" s="13" t="str">
        <f t="shared" si="6"/>
        <v>Medium Discount</v>
      </c>
      <c r="K114" s="42">
        <f t="shared" ca="1" si="7"/>
        <v>46081.614984027779</v>
      </c>
      <c r="L114" s="41" t="str">
        <f>IF(Table1[Sales]&gt;1000,"High purchase","Normal purchase")</f>
        <v>High purchase</v>
      </c>
      <c r="M114" s="48">
        <f>Table1[[#This Row],[Profit]]/Table1[[#This Row],[Sales]]</f>
        <v>0.29750085873945431</v>
      </c>
    </row>
    <row r="115" spans="1:13" ht="18.600000000000001" thickBot="1" x14ac:dyDescent="0.55000000000000004">
      <c r="A115" s="4" t="s">
        <v>32</v>
      </c>
      <c r="B115" s="1" t="s">
        <v>38</v>
      </c>
      <c r="C115" s="1" t="s">
        <v>20</v>
      </c>
      <c r="D115" s="1" t="s">
        <v>21</v>
      </c>
      <c r="E115" s="30">
        <v>771.02</v>
      </c>
      <c r="F115" s="2">
        <v>1</v>
      </c>
      <c r="G115" s="2">
        <v>0</v>
      </c>
      <c r="H115" s="3">
        <v>45585</v>
      </c>
      <c r="I115" s="34">
        <v>192.76</v>
      </c>
      <c r="J115" s="13" t="str">
        <f t="shared" si="6"/>
        <v>No Discount</v>
      </c>
      <c r="K115" s="42">
        <f t="shared" ca="1" si="7"/>
        <v>46081.614984027779</v>
      </c>
      <c r="L115" s="41" t="str">
        <f>IF(Table1[Sales]&gt;1000,"High purchase","Normal purchase")</f>
        <v>Normal purchase</v>
      </c>
      <c r="M115" s="48">
        <f>Table1[[#This Row],[Profit]]/Table1[[#This Row],[Sales]]</f>
        <v>0.25000648491608518</v>
      </c>
    </row>
    <row r="116" spans="1:13" ht="18.600000000000001" thickBot="1" x14ac:dyDescent="0.55000000000000004">
      <c r="A116" s="4" t="s">
        <v>67</v>
      </c>
      <c r="B116" s="1" t="s">
        <v>69</v>
      </c>
      <c r="C116" s="1" t="s">
        <v>24</v>
      </c>
      <c r="D116" s="1" t="s">
        <v>15</v>
      </c>
      <c r="E116" s="30">
        <v>661.09</v>
      </c>
      <c r="F116" s="2">
        <v>1</v>
      </c>
      <c r="G116" s="2">
        <v>0.2</v>
      </c>
      <c r="H116" s="3">
        <v>45593</v>
      </c>
      <c r="I116" s="34">
        <v>264.44</v>
      </c>
      <c r="J116" s="13" t="str">
        <f t="shared" si="6"/>
        <v>High Discount</v>
      </c>
      <c r="K116" s="42">
        <f t="shared" ca="1" si="7"/>
        <v>46081.614984027779</v>
      </c>
      <c r="L116" s="41" t="str">
        <f>IF(Table1[Sales]&gt;1000,"High purchase","Normal purchase")</f>
        <v>Normal purchase</v>
      </c>
      <c r="M116" s="48">
        <f>Table1[[#This Row],[Profit]]/Table1[[#This Row],[Sales]]</f>
        <v>0.4000060506133809</v>
      </c>
    </row>
    <row r="117" spans="1:13" ht="18.600000000000001" thickBot="1" x14ac:dyDescent="0.55000000000000004">
      <c r="A117" s="4" t="s">
        <v>13</v>
      </c>
      <c r="B117" s="1" t="s">
        <v>55</v>
      </c>
      <c r="C117" s="1" t="s">
        <v>11</v>
      </c>
      <c r="D117" s="1" t="s">
        <v>21</v>
      </c>
      <c r="E117" s="30">
        <v>688.83</v>
      </c>
      <c r="F117" s="2">
        <v>15</v>
      </c>
      <c r="G117" s="2">
        <v>0</v>
      </c>
      <c r="H117" s="3">
        <v>45595</v>
      </c>
      <c r="I117" s="34">
        <v>172.21</v>
      </c>
      <c r="J117" s="13" t="str">
        <f t="shared" si="6"/>
        <v>No Discount</v>
      </c>
      <c r="K117" s="42">
        <f t="shared" ca="1" si="7"/>
        <v>46081.614984027779</v>
      </c>
      <c r="L117" s="41" t="str">
        <f>IF(Table1[Sales]&gt;1000,"High purchase","Normal purchase")</f>
        <v>Normal purchase</v>
      </c>
      <c r="M117" s="48">
        <f>Table1[[#This Row],[Profit]]/Table1[[#This Row],[Sales]]</f>
        <v>0.2500036293425083</v>
      </c>
    </row>
    <row r="118" spans="1:13" ht="18.600000000000001" thickBot="1" x14ac:dyDescent="0.55000000000000004">
      <c r="A118" s="4" t="s">
        <v>73</v>
      </c>
      <c r="B118" s="1" t="s">
        <v>29</v>
      </c>
      <c r="C118" s="1" t="s">
        <v>34</v>
      </c>
      <c r="D118" s="1" t="s">
        <v>12</v>
      </c>
      <c r="E118" s="30">
        <v>1249.0999999999999</v>
      </c>
      <c r="F118" s="2">
        <v>4</v>
      </c>
      <c r="G118" s="2">
        <v>0.05</v>
      </c>
      <c r="H118" s="3">
        <v>45597</v>
      </c>
      <c r="I118" s="34">
        <v>474.66</v>
      </c>
      <c r="J118" s="13" t="str">
        <f t="shared" si="6"/>
        <v>Low Discount</v>
      </c>
      <c r="K118" s="42">
        <f t="shared" ca="1" si="7"/>
        <v>46081.614984027779</v>
      </c>
      <c r="L118" s="41" t="str">
        <f>IF(Table1[Sales]&gt;1000,"High purchase","Normal purchase")</f>
        <v>High purchase</v>
      </c>
      <c r="M118" s="48">
        <f>Table1[[#This Row],[Profit]]/Table1[[#This Row],[Sales]]</f>
        <v>0.3800016011528301</v>
      </c>
    </row>
    <row r="119" spans="1:13" ht="18.600000000000001" thickBot="1" x14ac:dyDescent="0.55000000000000004">
      <c r="A119" s="4" t="s">
        <v>44</v>
      </c>
      <c r="B119" s="1" t="s">
        <v>23</v>
      </c>
      <c r="C119" s="1" t="s">
        <v>18</v>
      </c>
      <c r="D119" s="1" t="s">
        <v>39</v>
      </c>
      <c r="E119" s="30">
        <v>1014.22</v>
      </c>
      <c r="F119" s="2">
        <v>14</v>
      </c>
      <c r="G119" s="2">
        <v>0.05</v>
      </c>
      <c r="H119" s="3">
        <v>45599</v>
      </c>
      <c r="I119" s="34">
        <v>433.58</v>
      </c>
      <c r="J119" s="13" t="str">
        <f t="shared" si="6"/>
        <v>Low Discount</v>
      </c>
      <c r="K119" s="42">
        <f t="shared" ca="1" si="7"/>
        <v>46081.614984027779</v>
      </c>
      <c r="L119" s="41" t="str">
        <f>IF(Table1[Sales]&gt;1000,"High purchase","Normal purchase")</f>
        <v>High purchase</v>
      </c>
      <c r="M119" s="48">
        <f>Table1[[#This Row],[Profit]]/Table1[[#This Row],[Sales]]</f>
        <v>0.42750093668040462</v>
      </c>
    </row>
    <row r="120" spans="1:13" ht="18.600000000000001" thickBot="1" x14ac:dyDescent="0.55000000000000004">
      <c r="A120" s="4" t="s">
        <v>54</v>
      </c>
      <c r="B120" s="1" t="s">
        <v>48</v>
      </c>
      <c r="C120" s="1" t="s">
        <v>18</v>
      </c>
      <c r="D120" s="1" t="s">
        <v>12</v>
      </c>
      <c r="E120" s="30">
        <v>1010.58</v>
      </c>
      <c r="F120" s="2">
        <v>2</v>
      </c>
      <c r="G120" s="2">
        <v>0.15</v>
      </c>
      <c r="H120" s="3">
        <v>45605</v>
      </c>
      <c r="I120" s="34">
        <v>343.6</v>
      </c>
      <c r="J120" s="13" t="str">
        <f t="shared" si="6"/>
        <v>Medium Discount</v>
      </c>
      <c r="K120" s="42">
        <f t="shared" ca="1" si="7"/>
        <v>46081.614984027779</v>
      </c>
      <c r="L120" s="41" t="str">
        <f>IF(Table1[Sales]&gt;1000,"High purchase","Normal purchase")</f>
        <v>High purchase</v>
      </c>
      <c r="M120" s="48">
        <f>Table1[[#This Row],[Profit]]/Table1[[#This Row],[Sales]]</f>
        <v>0.34000277068614065</v>
      </c>
    </row>
    <row r="121" spans="1:13" ht="18.600000000000001" thickBot="1" x14ac:dyDescent="0.55000000000000004">
      <c r="A121" s="4" t="s">
        <v>30</v>
      </c>
      <c r="B121" s="1" t="s">
        <v>59</v>
      </c>
      <c r="C121" s="1" t="s">
        <v>24</v>
      </c>
      <c r="D121" s="1" t="s">
        <v>27</v>
      </c>
      <c r="E121" s="30">
        <v>957.29</v>
      </c>
      <c r="F121" s="2">
        <v>4</v>
      </c>
      <c r="G121" s="2">
        <v>0.05</v>
      </c>
      <c r="H121" s="3">
        <v>45605</v>
      </c>
      <c r="I121" s="34">
        <v>318.3</v>
      </c>
      <c r="J121" s="13" t="str">
        <f t="shared" si="6"/>
        <v>Low Discount</v>
      </c>
      <c r="K121" s="42">
        <f t="shared" ca="1" si="7"/>
        <v>46081.614984027779</v>
      </c>
      <c r="L121" s="41" t="str">
        <f>IF(Table1[Sales]&gt;1000,"High purchase","Normal purchase")</f>
        <v>Normal purchase</v>
      </c>
      <c r="M121" s="48">
        <f>Table1[[#This Row],[Profit]]/Table1[[#This Row],[Sales]]</f>
        <v>0.33250112296169398</v>
      </c>
    </row>
    <row r="122" spans="1:13" ht="18.600000000000001" thickBot="1" x14ac:dyDescent="0.55000000000000004">
      <c r="A122" s="4" t="s">
        <v>28</v>
      </c>
      <c r="B122" s="1" t="s">
        <v>45</v>
      </c>
      <c r="C122" s="1" t="s">
        <v>24</v>
      </c>
      <c r="D122" s="1" t="s">
        <v>27</v>
      </c>
      <c r="E122" s="30">
        <v>1077.92</v>
      </c>
      <c r="F122" s="2">
        <v>3</v>
      </c>
      <c r="G122" s="2">
        <v>0.05</v>
      </c>
      <c r="H122" s="3">
        <v>45608</v>
      </c>
      <c r="I122" s="34">
        <v>358.41</v>
      </c>
      <c r="J122" s="13" t="str">
        <f t="shared" si="6"/>
        <v>Low Discount</v>
      </c>
      <c r="K122" s="42">
        <f t="shared" ca="1" si="7"/>
        <v>46081.614984027779</v>
      </c>
      <c r="L122" s="41" t="str">
        <f>IF(Table1[Sales]&gt;1000,"High purchase","Normal purchase")</f>
        <v>High purchase</v>
      </c>
      <c r="M122" s="48">
        <f>Table1[[#This Row],[Profit]]/Table1[[#This Row],[Sales]]</f>
        <v>0.33250148434021076</v>
      </c>
    </row>
    <row r="123" spans="1:13" ht="18.600000000000001" thickBot="1" x14ac:dyDescent="0.55000000000000004">
      <c r="A123" s="4" t="s">
        <v>52</v>
      </c>
      <c r="B123" s="1" t="s">
        <v>50</v>
      </c>
      <c r="C123" s="1" t="s">
        <v>20</v>
      </c>
      <c r="D123" s="1" t="s">
        <v>15</v>
      </c>
      <c r="E123" s="30">
        <v>1163.01</v>
      </c>
      <c r="F123" s="2">
        <v>5</v>
      </c>
      <c r="G123" s="2">
        <v>0</v>
      </c>
      <c r="H123" s="3">
        <v>45611</v>
      </c>
      <c r="I123" s="34">
        <v>581.5</v>
      </c>
      <c r="J123" s="13" t="str">
        <f t="shared" si="6"/>
        <v>No Discount</v>
      </c>
      <c r="K123" s="42">
        <f t="shared" ca="1" si="7"/>
        <v>46081.614984027779</v>
      </c>
      <c r="L123" s="41" t="str">
        <f>IF(Table1[Sales]&gt;1000,"High purchase","Normal purchase")</f>
        <v>High purchase</v>
      </c>
      <c r="M123" s="48">
        <f>Table1[[#This Row],[Profit]]/Table1[[#This Row],[Sales]]</f>
        <v>0.49999570081082706</v>
      </c>
    </row>
    <row r="124" spans="1:13" ht="18.600000000000001" thickBot="1" x14ac:dyDescent="0.55000000000000004">
      <c r="A124" s="4" t="s">
        <v>54</v>
      </c>
      <c r="B124" s="1" t="s">
        <v>45</v>
      </c>
      <c r="C124" s="1" t="s">
        <v>18</v>
      </c>
      <c r="D124" s="1" t="s">
        <v>39</v>
      </c>
      <c r="E124" s="30">
        <v>1014.56</v>
      </c>
      <c r="F124" s="2">
        <v>10</v>
      </c>
      <c r="G124" s="2">
        <v>0.1</v>
      </c>
      <c r="H124" s="3">
        <v>45612</v>
      </c>
      <c r="I124" s="34">
        <v>410.9</v>
      </c>
      <c r="J124" s="13" t="str">
        <f t="shared" si="6"/>
        <v>Low Discount</v>
      </c>
      <c r="K124" s="42">
        <f t="shared" ca="1" si="7"/>
        <v>46081.614984027779</v>
      </c>
      <c r="L124" s="41" t="str">
        <f>IF(Table1[Sales]&gt;1000,"High purchase","Normal purchase")</f>
        <v>High purchase</v>
      </c>
      <c r="M124" s="48">
        <f>Table1[[#This Row],[Profit]]/Table1[[#This Row],[Sales]]</f>
        <v>0.40500315407664406</v>
      </c>
    </row>
    <row r="125" spans="1:13" ht="18.600000000000001" thickBot="1" x14ac:dyDescent="0.55000000000000004">
      <c r="A125" s="4" t="s">
        <v>9</v>
      </c>
      <c r="B125" s="1" t="s">
        <v>17</v>
      </c>
      <c r="C125" s="1" t="s">
        <v>20</v>
      </c>
      <c r="D125" s="1" t="s">
        <v>21</v>
      </c>
      <c r="E125" s="30">
        <v>718.04</v>
      </c>
      <c r="F125" s="2">
        <v>14</v>
      </c>
      <c r="G125" s="2">
        <v>0</v>
      </c>
      <c r="H125" s="3">
        <v>45613</v>
      </c>
      <c r="I125" s="34">
        <v>179.51</v>
      </c>
      <c r="J125" s="13" t="str">
        <f t="shared" si="6"/>
        <v>No Discount</v>
      </c>
      <c r="K125" s="42">
        <f t="shared" ca="1" si="7"/>
        <v>46081.614984027779</v>
      </c>
      <c r="L125" s="41" t="str">
        <f>IF(Table1[Sales]&gt;1000,"High purchase","Normal purchase")</f>
        <v>Normal purchase</v>
      </c>
      <c r="M125" s="48">
        <f>Table1[[#This Row],[Profit]]/Table1[[#This Row],[Sales]]</f>
        <v>0.25</v>
      </c>
    </row>
    <row r="126" spans="1:13" ht="18.600000000000001" thickBot="1" x14ac:dyDescent="0.55000000000000004">
      <c r="A126" s="4" t="s">
        <v>72</v>
      </c>
      <c r="B126" s="1" t="s">
        <v>17</v>
      </c>
      <c r="C126" s="1" t="s">
        <v>34</v>
      </c>
      <c r="D126" s="1" t="s">
        <v>15</v>
      </c>
      <c r="E126" s="30">
        <v>1277.8499999999999</v>
      </c>
      <c r="F126" s="2">
        <v>18</v>
      </c>
      <c r="G126" s="2">
        <v>0.2</v>
      </c>
      <c r="H126" s="3">
        <v>45613</v>
      </c>
      <c r="I126" s="34">
        <v>511.14</v>
      </c>
      <c r="J126" s="13" t="str">
        <f t="shared" si="6"/>
        <v>High Discount</v>
      </c>
      <c r="K126" s="42">
        <f t="shared" ca="1" si="7"/>
        <v>46081.614984027779</v>
      </c>
      <c r="L126" s="41" t="str">
        <f>IF(Table1[Sales]&gt;1000,"High purchase","Normal purchase")</f>
        <v>High purchase</v>
      </c>
      <c r="M126" s="48">
        <f>Table1[[#This Row],[Profit]]/Table1[[#This Row],[Sales]]</f>
        <v>0.4</v>
      </c>
    </row>
    <row r="127" spans="1:13" ht="18.600000000000001" thickBot="1" x14ac:dyDescent="0.55000000000000004">
      <c r="A127" s="4" t="s">
        <v>70</v>
      </c>
      <c r="B127" s="1" t="s">
        <v>23</v>
      </c>
      <c r="C127" s="1" t="s">
        <v>24</v>
      </c>
      <c r="D127" s="1" t="s">
        <v>21</v>
      </c>
      <c r="E127" s="30">
        <v>706.73</v>
      </c>
      <c r="F127" s="2">
        <v>1</v>
      </c>
      <c r="G127" s="2">
        <v>0.15</v>
      </c>
      <c r="H127" s="3">
        <v>45613</v>
      </c>
      <c r="I127" s="34">
        <v>150.18</v>
      </c>
      <c r="J127" s="13" t="str">
        <f t="shared" si="6"/>
        <v>Medium Discount</v>
      </c>
      <c r="K127" s="42">
        <f t="shared" ca="1" si="7"/>
        <v>46081.614984027779</v>
      </c>
      <c r="L127" s="41" t="str">
        <f>IF(Table1[Sales]&gt;1000,"High purchase","Normal purchase")</f>
        <v>Normal purchase</v>
      </c>
      <c r="M127" s="48">
        <f>Table1[[#This Row],[Profit]]/Table1[[#This Row],[Sales]]</f>
        <v>0.21249982312905918</v>
      </c>
    </row>
    <row r="128" spans="1:13" ht="18.600000000000001" thickBot="1" x14ac:dyDescent="0.55000000000000004">
      <c r="A128" s="4" t="s">
        <v>65</v>
      </c>
      <c r="B128" s="1" t="s">
        <v>50</v>
      </c>
      <c r="C128" s="1" t="s">
        <v>18</v>
      </c>
      <c r="D128" s="1" t="s">
        <v>21</v>
      </c>
      <c r="E128" s="30">
        <v>1410.59</v>
      </c>
      <c r="F128" s="2">
        <v>15</v>
      </c>
      <c r="G128" s="2">
        <v>0</v>
      </c>
      <c r="H128" s="3">
        <v>45615</v>
      </c>
      <c r="I128" s="34">
        <v>352.65</v>
      </c>
      <c r="J128" s="13" t="str">
        <f t="shared" si="6"/>
        <v>No Discount</v>
      </c>
      <c r="K128" s="42">
        <f t="shared" ca="1" si="7"/>
        <v>46081.614984027779</v>
      </c>
      <c r="L128" s="41" t="str">
        <f>IF(Table1[Sales]&gt;1000,"High purchase","Normal purchase")</f>
        <v>High purchase</v>
      </c>
      <c r="M128" s="48">
        <f>Table1[[#This Row],[Profit]]/Table1[[#This Row],[Sales]]</f>
        <v>0.25000177230804133</v>
      </c>
    </row>
    <row r="129" spans="1:13" ht="18.600000000000001" thickBot="1" x14ac:dyDescent="0.55000000000000004">
      <c r="A129" s="4" t="s">
        <v>32</v>
      </c>
      <c r="B129" s="1" t="s">
        <v>61</v>
      </c>
      <c r="C129" s="1" t="s">
        <v>20</v>
      </c>
      <c r="D129" s="1" t="s">
        <v>27</v>
      </c>
      <c r="E129" s="30">
        <v>1350.33</v>
      </c>
      <c r="F129" s="2">
        <v>10</v>
      </c>
      <c r="G129" s="2">
        <v>0</v>
      </c>
      <c r="H129" s="3">
        <v>45615</v>
      </c>
      <c r="I129" s="34">
        <v>472.62</v>
      </c>
      <c r="J129" s="13" t="str">
        <f t="shared" si="6"/>
        <v>No Discount</v>
      </c>
      <c r="K129" s="42">
        <f t="shared" ca="1" si="7"/>
        <v>46081.614984027779</v>
      </c>
      <c r="L129" s="41" t="str">
        <f>IF(Table1[Sales]&gt;1000,"High purchase","Normal purchase")</f>
        <v>High purchase</v>
      </c>
      <c r="M129" s="48">
        <f>Table1[[#This Row],[Profit]]/Table1[[#This Row],[Sales]]</f>
        <v>0.35000333251871768</v>
      </c>
    </row>
    <row r="130" spans="1:13" ht="18.600000000000001" thickBot="1" x14ac:dyDescent="0.55000000000000004">
      <c r="A130" s="4" t="s">
        <v>41</v>
      </c>
      <c r="B130" s="1" t="s">
        <v>45</v>
      </c>
      <c r="C130" s="1" t="s">
        <v>18</v>
      </c>
      <c r="D130" s="1" t="s">
        <v>21</v>
      </c>
      <c r="E130" s="30">
        <v>919.18</v>
      </c>
      <c r="F130" s="2">
        <v>4</v>
      </c>
      <c r="G130" s="2">
        <v>0.15</v>
      </c>
      <c r="H130" s="3">
        <v>45615</v>
      </c>
      <c r="I130" s="34">
        <v>195.33</v>
      </c>
      <c r="J130" s="13" t="str">
        <f t="shared" ref="J130:J161" si="8">_xlfn.IFS(G130=0,"No Discount", G130&lt;=0.1,"Low Discount",G130&lt;=0.15,"Medium Discount",G130&gt;0.15,"High Discount")</f>
        <v>Medium Discount</v>
      </c>
      <c r="K130" s="42">
        <f t="shared" ref="K130:K161" ca="1" si="9">NOW()</f>
        <v>46081.614984027779</v>
      </c>
      <c r="L130" s="41" t="str">
        <f>IF(Table1[Sales]&gt;1000,"High purchase","Normal purchase")</f>
        <v>Normal purchase</v>
      </c>
      <c r="M130" s="48">
        <f>Table1[[#This Row],[Profit]]/Table1[[#This Row],[Sales]]</f>
        <v>0.21250462368632914</v>
      </c>
    </row>
    <row r="131" spans="1:13" ht="18.600000000000001" thickBot="1" x14ac:dyDescent="0.55000000000000004">
      <c r="A131" s="4" t="s">
        <v>74</v>
      </c>
      <c r="B131" s="1" t="s">
        <v>23</v>
      </c>
      <c r="C131" s="1" t="s">
        <v>11</v>
      </c>
      <c r="D131" s="1" t="s">
        <v>21</v>
      </c>
      <c r="E131" s="30">
        <v>258.51</v>
      </c>
      <c r="F131" s="2">
        <v>19</v>
      </c>
      <c r="G131" s="2">
        <v>0</v>
      </c>
      <c r="H131" s="3">
        <v>45616</v>
      </c>
      <c r="I131" s="34">
        <v>64.63</v>
      </c>
      <c r="J131" s="13" t="str">
        <f t="shared" si="8"/>
        <v>No Discount</v>
      </c>
      <c r="K131" s="42">
        <f t="shared" ca="1" si="9"/>
        <v>46081.614984027779</v>
      </c>
      <c r="L131" s="41" t="str">
        <f>IF(Table1[Sales]&gt;1000,"High purchase","Normal purchase")</f>
        <v>Normal purchase</v>
      </c>
      <c r="M131" s="48">
        <f>Table1[[#This Row],[Profit]]/Table1[[#This Row],[Sales]]</f>
        <v>0.25000967080577152</v>
      </c>
    </row>
    <row r="132" spans="1:13" ht="18.600000000000001" thickBot="1" x14ac:dyDescent="0.55000000000000004">
      <c r="A132" s="4" t="s">
        <v>63</v>
      </c>
      <c r="B132" s="1" t="s">
        <v>61</v>
      </c>
      <c r="C132" s="1" t="s">
        <v>18</v>
      </c>
      <c r="D132" s="1" t="s">
        <v>12</v>
      </c>
      <c r="E132" s="30">
        <v>1213.48</v>
      </c>
      <c r="F132" s="2">
        <v>5</v>
      </c>
      <c r="G132" s="2">
        <v>0.05</v>
      </c>
      <c r="H132" s="3">
        <v>45616</v>
      </c>
      <c r="I132" s="34">
        <v>461.12</v>
      </c>
      <c r="J132" s="13" t="str">
        <f t="shared" si="8"/>
        <v>Low Discount</v>
      </c>
      <c r="K132" s="42">
        <f t="shared" ca="1" si="9"/>
        <v>46081.614984027779</v>
      </c>
      <c r="L132" s="41" t="str">
        <f>IF(Table1[Sales]&gt;1000,"High purchase","Normal purchase")</f>
        <v>High purchase</v>
      </c>
      <c r="M132" s="48">
        <f>Table1[[#This Row],[Profit]]/Table1[[#This Row],[Sales]]</f>
        <v>0.37999802221709461</v>
      </c>
    </row>
    <row r="133" spans="1:13" ht="18.600000000000001" thickBot="1" x14ac:dyDescent="0.55000000000000004">
      <c r="A133" s="4" t="s">
        <v>57</v>
      </c>
      <c r="B133" s="1" t="s">
        <v>38</v>
      </c>
      <c r="C133" s="1" t="s">
        <v>34</v>
      </c>
      <c r="D133" s="1" t="s">
        <v>12</v>
      </c>
      <c r="E133" s="30">
        <v>1150.28</v>
      </c>
      <c r="F133" s="2">
        <v>8</v>
      </c>
      <c r="G133" s="2">
        <v>0.05</v>
      </c>
      <c r="H133" s="3">
        <v>45622</v>
      </c>
      <c r="I133" s="34">
        <v>437.11</v>
      </c>
      <c r="J133" s="13" t="str">
        <f t="shared" si="8"/>
        <v>Low Discount</v>
      </c>
      <c r="K133" s="42">
        <f t="shared" ca="1" si="9"/>
        <v>46081.614984027779</v>
      </c>
      <c r="L133" s="41" t="str">
        <f>IF(Table1[Sales]&gt;1000,"High purchase","Normal purchase")</f>
        <v>High purchase</v>
      </c>
      <c r="M133" s="48">
        <f>Table1[[#This Row],[Profit]]/Table1[[#This Row],[Sales]]</f>
        <v>0.38000312967277533</v>
      </c>
    </row>
    <row r="134" spans="1:13" ht="18.600000000000001" thickBot="1" x14ac:dyDescent="0.55000000000000004">
      <c r="A134" s="4" t="s">
        <v>37</v>
      </c>
      <c r="B134" s="1" t="s">
        <v>71</v>
      </c>
      <c r="C134" s="1" t="s">
        <v>20</v>
      </c>
      <c r="D134" s="1" t="s">
        <v>27</v>
      </c>
      <c r="E134" s="30">
        <v>853.86</v>
      </c>
      <c r="F134" s="2">
        <v>8</v>
      </c>
      <c r="G134" s="2">
        <v>0.1</v>
      </c>
      <c r="H134" s="3">
        <v>45622</v>
      </c>
      <c r="I134" s="34">
        <v>268.97000000000003</v>
      </c>
      <c r="J134" s="13" t="str">
        <f t="shared" si="8"/>
        <v>Low Discount</v>
      </c>
      <c r="K134" s="42">
        <f t="shared" ca="1" si="9"/>
        <v>46081.614984027779</v>
      </c>
      <c r="L134" s="41" t="str">
        <f>IF(Table1[Sales]&gt;1000,"High purchase","Normal purchase")</f>
        <v>Normal purchase</v>
      </c>
      <c r="M134" s="48">
        <f>Table1[[#This Row],[Profit]]/Table1[[#This Row],[Sales]]</f>
        <v>0.31500480172393602</v>
      </c>
    </row>
    <row r="135" spans="1:13" ht="18.600000000000001" thickBot="1" x14ac:dyDescent="0.55000000000000004">
      <c r="A135" s="4" t="s">
        <v>75</v>
      </c>
      <c r="B135" s="1" t="s">
        <v>45</v>
      </c>
      <c r="C135" s="1" t="s">
        <v>20</v>
      </c>
      <c r="D135" s="1" t="s">
        <v>21</v>
      </c>
      <c r="E135" s="30">
        <v>1061.04</v>
      </c>
      <c r="F135" s="2">
        <v>1</v>
      </c>
      <c r="G135" s="2">
        <v>0</v>
      </c>
      <c r="H135" s="3">
        <v>45624</v>
      </c>
      <c r="I135" s="34">
        <v>265.26</v>
      </c>
      <c r="J135" s="13" t="str">
        <f t="shared" si="8"/>
        <v>No Discount</v>
      </c>
      <c r="K135" s="42">
        <f t="shared" ca="1" si="9"/>
        <v>46081.614984027779</v>
      </c>
      <c r="L135" s="41" t="str">
        <f>IF(Table1[Sales]&gt;1000,"High purchase","Normal purchase")</f>
        <v>High purchase</v>
      </c>
      <c r="M135" s="48">
        <f>Table1[[#This Row],[Profit]]/Table1[[#This Row],[Sales]]</f>
        <v>0.25</v>
      </c>
    </row>
    <row r="136" spans="1:13" ht="18.600000000000001" thickBot="1" x14ac:dyDescent="0.55000000000000004">
      <c r="A136" s="4" t="s">
        <v>28</v>
      </c>
      <c r="B136" s="1" t="s">
        <v>43</v>
      </c>
      <c r="C136" s="1" t="s">
        <v>11</v>
      </c>
      <c r="D136" s="1" t="s">
        <v>21</v>
      </c>
      <c r="E136" s="30">
        <v>894.55</v>
      </c>
      <c r="F136" s="2">
        <v>19</v>
      </c>
      <c r="G136" s="2">
        <v>0.2</v>
      </c>
      <c r="H136" s="3">
        <v>45625</v>
      </c>
      <c r="I136" s="34">
        <v>178.91</v>
      </c>
      <c r="J136" s="13" t="str">
        <f t="shared" si="8"/>
        <v>High Discount</v>
      </c>
      <c r="K136" s="42">
        <f t="shared" ca="1" si="9"/>
        <v>46081.614984027779</v>
      </c>
      <c r="L136" s="41" t="str">
        <f>IF(Table1[Sales]&gt;1000,"High purchase","Normal purchase")</f>
        <v>Normal purchase</v>
      </c>
      <c r="M136" s="48">
        <f>Table1[[#This Row],[Profit]]/Table1[[#This Row],[Sales]]</f>
        <v>0.2</v>
      </c>
    </row>
    <row r="137" spans="1:13" ht="18.600000000000001" thickBot="1" x14ac:dyDescent="0.55000000000000004">
      <c r="A137" s="4" t="s">
        <v>25</v>
      </c>
      <c r="B137" s="1" t="s">
        <v>38</v>
      </c>
      <c r="C137" s="1" t="s">
        <v>24</v>
      </c>
      <c r="D137" s="1" t="s">
        <v>39</v>
      </c>
      <c r="E137" s="30">
        <v>833.91</v>
      </c>
      <c r="F137" s="2">
        <v>3</v>
      </c>
      <c r="G137" s="2">
        <v>0.05</v>
      </c>
      <c r="H137" s="3">
        <v>45626</v>
      </c>
      <c r="I137" s="34">
        <v>356.5</v>
      </c>
      <c r="J137" s="13" t="str">
        <f t="shared" si="8"/>
        <v>Low Discount</v>
      </c>
      <c r="K137" s="42">
        <f t="shared" ca="1" si="9"/>
        <v>46081.614984027779</v>
      </c>
      <c r="L137" s="41" t="str">
        <f>IF(Table1[Sales]&gt;1000,"High purchase","Normal purchase")</f>
        <v>Normal purchase</v>
      </c>
      <c r="M137" s="48">
        <f>Table1[[#This Row],[Profit]]/Table1[[#This Row],[Sales]]</f>
        <v>0.42750416711635547</v>
      </c>
    </row>
    <row r="138" spans="1:13" ht="18.600000000000001" thickBot="1" x14ac:dyDescent="0.55000000000000004">
      <c r="A138" s="4" t="s">
        <v>58</v>
      </c>
      <c r="B138" s="1" t="s">
        <v>71</v>
      </c>
      <c r="C138" s="1" t="s">
        <v>11</v>
      </c>
      <c r="D138" s="1" t="s">
        <v>27</v>
      </c>
      <c r="E138" s="30">
        <v>820.19</v>
      </c>
      <c r="F138" s="2">
        <v>4</v>
      </c>
      <c r="G138" s="2">
        <v>0.2</v>
      </c>
      <c r="H138" s="3">
        <v>45630</v>
      </c>
      <c r="I138" s="34">
        <v>229.65</v>
      </c>
      <c r="J138" s="13" t="str">
        <f t="shared" si="8"/>
        <v>High Discount</v>
      </c>
      <c r="K138" s="42">
        <f t="shared" ca="1" si="9"/>
        <v>46081.614984027779</v>
      </c>
      <c r="L138" s="41" t="str">
        <f>IF(Table1[Sales]&gt;1000,"High purchase","Normal purchase")</f>
        <v>Normal purchase</v>
      </c>
      <c r="M138" s="48">
        <f>Table1[[#This Row],[Profit]]/Table1[[#This Row],[Sales]]</f>
        <v>0.2799960984649898</v>
      </c>
    </row>
    <row r="139" spans="1:13" ht="18.600000000000001" thickBot="1" x14ac:dyDescent="0.55000000000000004">
      <c r="A139" s="4" t="s">
        <v>58</v>
      </c>
      <c r="B139" s="1" t="s">
        <v>38</v>
      </c>
      <c r="C139" s="1" t="s">
        <v>34</v>
      </c>
      <c r="D139" s="1" t="s">
        <v>21</v>
      </c>
      <c r="E139" s="30">
        <v>511.74</v>
      </c>
      <c r="F139" s="2">
        <v>8</v>
      </c>
      <c r="G139" s="2">
        <v>0.05</v>
      </c>
      <c r="H139" s="3">
        <v>45631</v>
      </c>
      <c r="I139" s="34">
        <v>121.54</v>
      </c>
      <c r="J139" s="13" t="str">
        <f t="shared" si="8"/>
        <v>Low Discount</v>
      </c>
      <c r="K139" s="42">
        <f t="shared" ca="1" si="9"/>
        <v>46081.614984027779</v>
      </c>
      <c r="L139" s="41" t="str">
        <f>IF(Table1[Sales]&gt;1000,"High purchase","Normal purchase")</f>
        <v>Normal purchase</v>
      </c>
      <c r="M139" s="48">
        <f>Table1[[#This Row],[Profit]]/Table1[[#This Row],[Sales]]</f>
        <v>0.2375034197053191</v>
      </c>
    </row>
    <row r="140" spans="1:13" ht="18.600000000000001" thickBot="1" x14ac:dyDescent="0.55000000000000004">
      <c r="A140" s="4" t="s">
        <v>65</v>
      </c>
      <c r="B140" s="1" t="s">
        <v>61</v>
      </c>
      <c r="C140" s="1" t="s">
        <v>20</v>
      </c>
      <c r="D140" s="1" t="s">
        <v>27</v>
      </c>
      <c r="E140" s="30">
        <v>806.03</v>
      </c>
      <c r="F140" s="2">
        <v>19</v>
      </c>
      <c r="G140" s="2">
        <v>0.05</v>
      </c>
      <c r="H140" s="3">
        <v>45638</v>
      </c>
      <c r="I140" s="34">
        <v>268</v>
      </c>
      <c r="J140" s="13" t="str">
        <f t="shared" si="8"/>
        <v>Low Discount</v>
      </c>
      <c r="K140" s="42">
        <f t="shared" ca="1" si="9"/>
        <v>46081.614984027779</v>
      </c>
      <c r="L140" s="41" t="str">
        <f>IF(Table1[Sales]&gt;1000,"High purchase","Normal purchase")</f>
        <v>Normal purchase</v>
      </c>
      <c r="M140" s="48">
        <f>Table1[[#This Row],[Profit]]/Table1[[#This Row],[Sales]]</f>
        <v>0.33249382777315983</v>
      </c>
    </row>
    <row r="141" spans="1:13" ht="18.600000000000001" thickBot="1" x14ac:dyDescent="0.55000000000000004">
      <c r="A141" s="4" t="s">
        <v>28</v>
      </c>
      <c r="B141" s="1" t="s">
        <v>26</v>
      </c>
      <c r="C141" s="1" t="s">
        <v>34</v>
      </c>
      <c r="D141" s="1" t="s">
        <v>27</v>
      </c>
      <c r="E141" s="30">
        <v>1432.47</v>
      </c>
      <c r="F141" s="2">
        <v>16</v>
      </c>
      <c r="G141" s="2">
        <v>0.15</v>
      </c>
      <c r="H141" s="3">
        <v>45640</v>
      </c>
      <c r="I141" s="34">
        <v>426.16</v>
      </c>
      <c r="J141" s="13" t="str">
        <f t="shared" si="8"/>
        <v>Medium Discount</v>
      </c>
      <c r="K141" s="42">
        <f t="shared" ca="1" si="9"/>
        <v>46081.614984027779</v>
      </c>
      <c r="L141" s="41" t="str">
        <f>IF(Table1[Sales]&gt;1000,"High purchase","Normal purchase")</f>
        <v>High purchase</v>
      </c>
      <c r="M141" s="48">
        <f>Table1[[#This Row],[Profit]]/Table1[[#This Row],[Sales]]</f>
        <v>0.29750012216660732</v>
      </c>
    </row>
    <row r="142" spans="1:13" ht="18.600000000000001" thickBot="1" x14ac:dyDescent="0.55000000000000004">
      <c r="A142" s="4" t="s">
        <v>74</v>
      </c>
      <c r="B142" s="1" t="s">
        <v>29</v>
      </c>
      <c r="C142" s="1" t="s">
        <v>34</v>
      </c>
      <c r="D142" s="1" t="s">
        <v>21</v>
      </c>
      <c r="E142" s="30">
        <v>1488.58</v>
      </c>
      <c r="F142" s="2">
        <v>10</v>
      </c>
      <c r="G142" s="2">
        <v>0.15</v>
      </c>
      <c r="H142" s="3">
        <v>45640</v>
      </c>
      <c r="I142" s="34">
        <v>316.32</v>
      </c>
      <c r="J142" s="13" t="str">
        <f t="shared" si="8"/>
        <v>Medium Discount</v>
      </c>
      <c r="K142" s="42">
        <f t="shared" ca="1" si="9"/>
        <v>46081.614984027779</v>
      </c>
      <c r="L142" s="41" t="str">
        <f>IF(Table1[Sales]&gt;1000,"High purchase","Normal purchase")</f>
        <v>High purchase</v>
      </c>
      <c r="M142" s="48">
        <f>Table1[[#This Row],[Profit]]/Table1[[#This Row],[Sales]]</f>
        <v>0.21249781671122817</v>
      </c>
    </row>
    <row r="143" spans="1:13" ht="18.600000000000001" thickBot="1" x14ac:dyDescent="0.55000000000000004">
      <c r="A143" s="4" t="s">
        <v>30</v>
      </c>
      <c r="B143" s="1" t="s">
        <v>66</v>
      </c>
      <c r="C143" s="1" t="s">
        <v>18</v>
      </c>
      <c r="D143" s="1" t="s">
        <v>12</v>
      </c>
      <c r="E143" s="30">
        <v>1231.26</v>
      </c>
      <c r="F143" s="2">
        <v>9</v>
      </c>
      <c r="G143" s="2">
        <v>0</v>
      </c>
      <c r="H143" s="3">
        <v>45646</v>
      </c>
      <c r="I143" s="34">
        <v>492.5</v>
      </c>
      <c r="J143" s="13" t="str">
        <f t="shared" si="8"/>
        <v>No Discount</v>
      </c>
      <c r="K143" s="42">
        <f t="shared" ca="1" si="9"/>
        <v>46081.614984027779</v>
      </c>
      <c r="L143" s="41" t="str">
        <f>IF(Table1[Sales]&gt;1000,"High purchase","Normal purchase")</f>
        <v>High purchase</v>
      </c>
      <c r="M143" s="48">
        <f>Table1[[#This Row],[Profit]]/Table1[[#This Row],[Sales]]</f>
        <v>0.39999675129542095</v>
      </c>
    </row>
    <row r="144" spans="1:13" ht="18.600000000000001" thickBot="1" x14ac:dyDescent="0.55000000000000004">
      <c r="A144" s="4" t="s">
        <v>30</v>
      </c>
      <c r="B144" s="1" t="s">
        <v>43</v>
      </c>
      <c r="C144" s="1" t="s">
        <v>11</v>
      </c>
      <c r="D144" s="1" t="s">
        <v>21</v>
      </c>
      <c r="E144" s="30">
        <v>1161.67</v>
      </c>
      <c r="F144" s="2">
        <v>19</v>
      </c>
      <c r="G144" s="2">
        <v>0.2</v>
      </c>
      <c r="H144" s="3">
        <v>45647</v>
      </c>
      <c r="I144" s="34">
        <v>232.33</v>
      </c>
      <c r="J144" s="13" t="str">
        <f t="shared" si="8"/>
        <v>High Discount</v>
      </c>
      <c r="K144" s="42">
        <f t="shared" ca="1" si="9"/>
        <v>46081.614984027779</v>
      </c>
      <c r="L144" s="41" t="str">
        <f>IF(Table1[Sales]&gt;1000,"High purchase","Normal purchase")</f>
        <v>High purchase</v>
      </c>
      <c r="M144" s="48">
        <f>Table1[[#This Row],[Profit]]/Table1[[#This Row],[Sales]]</f>
        <v>0.19999655668132946</v>
      </c>
    </row>
    <row r="145" spans="1:13" ht="18.600000000000001" thickBot="1" x14ac:dyDescent="0.55000000000000004">
      <c r="A145" s="4" t="s">
        <v>49</v>
      </c>
      <c r="B145" s="1" t="s">
        <v>45</v>
      </c>
      <c r="C145" s="1" t="s">
        <v>34</v>
      </c>
      <c r="D145" s="1" t="s">
        <v>39</v>
      </c>
      <c r="E145" s="30">
        <v>388.23</v>
      </c>
      <c r="F145" s="2">
        <v>16</v>
      </c>
      <c r="G145" s="2">
        <v>0.05</v>
      </c>
      <c r="H145" s="3">
        <v>45650</v>
      </c>
      <c r="I145" s="34">
        <v>165.97</v>
      </c>
      <c r="J145" s="13" t="str">
        <f t="shared" si="8"/>
        <v>Low Discount</v>
      </c>
      <c r="K145" s="42">
        <f t="shared" ca="1" si="9"/>
        <v>46081.614984027779</v>
      </c>
      <c r="L145" s="41" t="str">
        <f>IF(Table1[Sales]&gt;1000,"High purchase","Normal purchase")</f>
        <v>Normal purchase</v>
      </c>
      <c r="M145" s="48">
        <f>Table1[[#This Row],[Profit]]/Table1[[#This Row],[Sales]]</f>
        <v>0.42750431445277282</v>
      </c>
    </row>
    <row r="146" spans="1:13" ht="18.600000000000001" thickBot="1" x14ac:dyDescent="0.55000000000000004">
      <c r="A146" s="4" t="s">
        <v>72</v>
      </c>
      <c r="B146" s="1" t="s">
        <v>31</v>
      </c>
      <c r="C146" s="1" t="s">
        <v>24</v>
      </c>
      <c r="D146" s="1" t="s">
        <v>15</v>
      </c>
      <c r="E146" s="30">
        <v>1589.42</v>
      </c>
      <c r="F146" s="2">
        <v>6</v>
      </c>
      <c r="G146" s="2">
        <v>0.15</v>
      </c>
      <c r="H146" s="3">
        <v>45651</v>
      </c>
      <c r="I146" s="34">
        <v>675.5</v>
      </c>
      <c r="J146" s="13" t="str">
        <f t="shared" si="8"/>
        <v>Medium Discount</v>
      </c>
      <c r="K146" s="42">
        <f t="shared" ca="1" si="9"/>
        <v>46081.614984027779</v>
      </c>
      <c r="L146" s="41" t="str">
        <f>IF(Table1[Sales]&gt;1000,"High purchase","Normal purchase")</f>
        <v>High purchase</v>
      </c>
      <c r="M146" s="48">
        <f>Table1[[#This Row],[Profit]]/Table1[[#This Row],[Sales]]</f>
        <v>0.42499779793887077</v>
      </c>
    </row>
    <row r="147" spans="1:13" ht="18.600000000000001" thickBot="1" x14ac:dyDescent="0.55000000000000004">
      <c r="A147" s="4" t="s">
        <v>28</v>
      </c>
      <c r="B147" s="1" t="s">
        <v>71</v>
      </c>
      <c r="C147" s="1" t="s">
        <v>24</v>
      </c>
      <c r="D147" s="1" t="s">
        <v>15</v>
      </c>
      <c r="E147" s="30">
        <v>336.66</v>
      </c>
      <c r="F147" s="2">
        <v>13</v>
      </c>
      <c r="G147" s="2">
        <v>0.2</v>
      </c>
      <c r="H147" s="3">
        <v>45651</v>
      </c>
      <c r="I147" s="34">
        <v>134.66</v>
      </c>
      <c r="J147" s="13" t="str">
        <f t="shared" si="8"/>
        <v>High Discount</v>
      </c>
      <c r="K147" s="42">
        <f t="shared" ca="1" si="9"/>
        <v>46081.614984027779</v>
      </c>
      <c r="L147" s="41" t="str">
        <f>IF(Table1[Sales]&gt;1000,"High purchase","Normal purchase")</f>
        <v>Normal purchase</v>
      </c>
      <c r="M147" s="48">
        <f>Table1[[#This Row],[Profit]]/Table1[[#This Row],[Sales]]</f>
        <v>0.39998811857660543</v>
      </c>
    </row>
    <row r="148" spans="1:13" ht="18.600000000000001" thickBot="1" x14ac:dyDescent="0.55000000000000004">
      <c r="A148" s="4" t="s">
        <v>49</v>
      </c>
      <c r="B148" s="1" t="s">
        <v>23</v>
      </c>
      <c r="C148" s="1" t="s">
        <v>11</v>
      </c>
      <c r="D148" s="1" t="s">
        <v>12</v>
      </c>
      <c r="E148" s="30">
        <v>1353.79</v>
      </c>
      <c r="F148" s="2">
        <v>14</v>
      </c>
      <c r="G148" s="2">
        <v>0.1</v>
      </c>
      <c r="H148" s="3">
        <v>45656</v>
      </c>
      <c r="I148" s="34">
        <v>487.36</v>
      </c>
      <c r="J148" s="13" t="str">
        <f t="shared" si="8"/>
        <v>Low Discount</v>
      </c>
      <c r="K148" s="42">
        <f t="shared" ca="1" si="9"/>
        <v>46081.614984027779</v>
      </c>
      <c r="L148" s="41" t="str">
        <f>IF(Table1[Sales]&gt;1000,"High purchase","Normal purchase")</f>
        <v>High purchase</v>
      </c>
      <c r="M148" s="48">
        <f>Table1[[#This Row],[Profit]]/Table1[[#This Row],[Sales]]</f>
        <v>0.35999674986519331</v>
      </c>
    </row>
    <row r="149" spans="1:13" ht="18.600000000000001" thickBot="1" x14ac:dyDescent="0.55000000000000004">
      <c r="A149" s="4" t="s">
        <v>63</v>
      </c>
      <c r="B149" s="1" t="s">
        <v>69</v>
      </c>
      <c r="C149" s="1" t="s">
        <v>34</v>
      </c>
      <c r="D149" s="1" t="s">
        <v>15</v>
      </c>
      <c r="E149" s="30">
        <v>662.61</v>
      </c>
      <c r="F149" s="2">
        <v>11</v>
      </c>
      <c r="G149" s="2">
        <v>0.05</v>
      </c>
      <c r="H149" s="3">
        <v>45658</v>
      </c>
      <c r="I149" s="34">
        <v>314.74</v>
      </c>
      <c r="J149" s="13" t="str">
        <f t="shared" si="8"/>
        <v>Low Discount</v>
      </c>
      <c r="K149" s="42">
        <f t="shared" ca="1" si="9"/>
        <v>46081.614984027779</v>
      </c>
      <c r="L149" s="41" t="str">
        <f>IF(Table1[Sales]&gt;1000,"High purchase","Normal purchase")</f>
        <v>Normal purchase</v>
      </c>
      <c r="M149" s="48">
        <f>Table1[[#This Row],[Profit]]/Table1[[#This Row],[Sales]]</f>
        <v>0.47500037729584521</v>
      </c>
    </row>
    <row r="150" spans="1:13" ht="18.600000000000001" thickBot="1" x14ac:dyDescent="0.55000000000000004">
      <c r="A150" s="4" t="s">
        <v>52</v>
      </c>
      <c r="B150" s="1" t="s">
        <v>48</v>
      </c>
      <c r="C150" s="1" t="s">
        <v>24</v>
      </c>
      <c r="D150" s="1" t="s">
        <v>39</v>
      </c>
      <c r="E150" s="30">
        <v>309.42</v>
      </c>
      <c r="F150" s="2">
        <v>1</v>
      </c>
      <c r="G150" s="2">
        <v>0.2</v>
      </c>
      <c r="H150" s="3">
        <v>45658</v>
      </c>
      <c r="I150" s="34">
        <v>111.39</v>
      </c>
      <c r="J150" s="13" t="str">
        <f t="shared" si="8"/>
        <v>High Discount</v>
      </c>
      <c r="K150" s="42">
        <f t="shared" ca="1" si="9"/>
        <v>46081.614984027779</v>
      </c>
      <c r="L150" s="41" t="str">
        <f>IF(Table1[Sales]&gt;1000,"High purchase","Normal purchase")</f>
        <v>Normal purchase</v>
      </c>
      <c r="M150" s="48">
        <f>Table1[[#This Row],[Profit]]/Table1[[#This Row],[Sales]]</f>
        <v>0.35999612177622647</v>
      </c>
    </row>
    <row r="151" spans="1:13" ht="18.600000000000001" thickBot="1" x14ac:dyDescent="0.55000000000000004">
      <c r="A151" s="4" t="s">
        <v>63</v>
      </c>
      <c r="B151" s="1" t="s">
        <v>29</v>
      </c>
      <c r="C151" s="1" t="s">
        <v>24</v>
      </c>
      <c r="D151" s="1" t="s">
        <v>12</v>
      </c>
      <c r="E151" s="30">
        <v>884.63</v>
      </c>
      <c r="F151" s="2">
        <v>18</v>
      </c>
      <c r="G151" s="2">
        <v>0.1</v>
      </c>
      <c r="H151" s="3">
        <v>45659</v>
      </c>
      <c r="I151" s="34">
        <v>318.47000000000003</v>
      </c>
      <c r="J151" s="13" t="str">
        <f t="shared" si="8"/>
        <v>Low Discount</v>
      </c>
      <c r="K151" s="42">
        <f t="shared" ca="1" si="9"/>
        <v>46081.614984027779</v>
      </c>
      <c r="L151" s="41" t="str">
        <f>IF(Table1[Sales]&gt;1000,"High purchase","Normal purchase")</f>
        <v>Normal purchase</v>
      </c>
      <c r="M151" s="48">
        <f>Table1[[#This Row],[Profit]]/Table1[[#This Row],[Sales]]</f>
        <v>0.36000361733153979</v>
      </c>
    </row>
    <row r="152" spans="1:13" ht="18.600000000000001" thickBot="1" x14ac:dyDescent="0.55000000000000004">
      <c r="A152" s="4" t="s">
        <v>52</v>
      </c>
      <c r="B152" s="1" t="s">
        <v>23</v>
      </c>
      <c r="C152" s="1" t="s">
        <v>34</v>
      </c>
      <c r="D152" s="1" t="s">
        <v>39</v>
      </c>
      <c r="E152" s="30">
        <v>745.05</v>
      </c>
      <c r="F152" s="2">
        <v>10</v>
      </c>
      <c r="G152" s="2">
        <v>0.1</v>
      </c>
      <c r="H152" s="3">
        <v>45660</v>
      </c>
      <c r="I152" s="34">
        <v>301.75</v>
      </c>
      <c r="J152" s="13" t="str">
        <f t="shared" si="8"/>
        <v>Low Discount</v>
      </c>
      <c r="K152" s="42">
        <f t="shared" ca="1" si="9"/>
        <v>46081.614984027779</v>
      </c>
      <c r="L152" s="41" t="str">
        <f>IF(Table1[Sales]&gt;1000,"High purchase","Normal purchase")</f>
        <v>Normal purchase</v>
      </c>
      <c r="M152" s="48">
        <f>Table1[[#This Row],[Profit]]/Table1[[#This Row],[Sales]]</f>
        <v>0.40500637541104628</v>
      </c>
    </row>
    <row r="153" spans="1:13" ht="18.600000000000001" thickBot="1" x14ac:dyDescent="0.55000000000000004">
      <c r="A153" s="4" t="s">
        <v>60</v>
      </c>
      <c r="B153" s="1" t="s">
        <v>17</v>
      </c>
      <c r="C153" s="1" t="s">
        <v>20</v>
      </c>
      <c r="D153" s="1" t="s">
        <v>15</v>
      </c>
      <c r="E153" s="30">
        <v>870.23</v>
      </c>
      <c r="F153" s="2">
        <v>5</v>
      </c>
      <c r="G153" s="2">
        <v>0.05</v>
      </c>
      <c r="H153" s="3">
        <v>45660</v>
      </c>
      <c r="I153" s="34">
        <v>413.36</v>
      </c>
      <c r="J153" s="13" t="str">
        <f t="shared" si="8"/>
        <v>Low Discount</v>
      </c>
      <c r="K153" s="42">
        <f t="shared" ca="1" si="9"/>
        <v>46081.614984027779</v>
      </c>
      <c r="L153" s="41" t="str">
        <f>IF(Table1[Sales]&gt;1000,"High purchase","Normal purchase")</f>
        <v>Normal purchase</v>
      </c>
      <c r="M153" s="48">
        <f>Table1[[#This Row],[Profit]]/Table1[[#This Row],[Sales]]</f>
        <v>0.47500086184112245</v>
      </c>
    </row>
    <row r="154" spans="1:13" ht="18.600000000000001" thickBot="1" x14ac:dyDescent="0.55000000000000004">
      <c r="A154" s="4" t="s">
        <v>35</v>
      </c>
      <c r="B154" s="1" t="s">
        <v>29</v>
      </c>
      <c r="C154" s="1" t="s">
        <v>11</v>
      </c>
      <c r="D154" s="1" t="s">
        <v>27</v>
      </c>
      <c r="E154" s="30">
        <v>862.19</v>
      </c>
      <c r="F154" s="2">
        <v>18</v>
      </c>
      <c r="G154" s="2">
        <v>0.05</v>
      </c>
      <c r="H154" s="3">
        <v>45663</v>
      </c>
      <c r="I154" s="34">
        <v>286.68</v>
      </c>
      <c r="J154" s="13" t="str">
        <f t="shared" si="8"/>
        <v>Low Discount</v>
      </c>
      <c r="K154" s="42">
        <f t="shared" ca="1" si="9"/>
        <v>46081.614984027779</v>
      </c>
      <c r="L154" s="41" t="str">
        <f>IF(Table1[Sales]&gt;1000,"High purchase","Normal purchase")</f>
        <v>Normal purchase</v>
      </c>
      <c r="M154" s="48">
        <f>Table1[[#This Row],[Profit]]/Table1[[#This Row],[Sales]]</f>
        <v>0.33250211670281493</v>
      </c>
    </row>
    <row r="155" spans="1:13" ht="18.600000000000001" thickBot="1" x14ac:dyDescent="0.55000000000000004">
      <c r="A155" s="4" t="s">
        <v>73</v>
      </c>
      <c r="B155" s="1" t="s">
        <v>59</v>
      </c>
      <c r="C155" s="1" t="s">
        <v>24</v>
      </c>
      <c r="D155" s="1" t="s">
        <v>15</v>
      </c>
      <c r="E155" s="30">
        <v>1171.18</v>
      </c>
      <c r="F155" s="2">
        <v>19</v>
      </c>
      <c r="G155" s="2">
        <v>0.05</v>
      </c>
      <c r="H155" s="3">
        <v>45667</v>
      </c>
      <c r="I155" s="34">
        <v>556.30999999999995</v>
      </c>
      <c r="J155" s="13" t="str">
        <f t="shared" si="8"/>
        <v>Low Discount</v>
      </c>
      <c r="K155" s="42">
        <f t="shared" ca="1" si="9"/>
        <v>46081.614984027779</v>
      </c>
      <c r="L155" s="41" t="str">
        <f>IF(Table1[Sales]&gt;1000,"High purchase","Normal purchase")</f>
        <v>High purchase</v>
      </c>
      <c r="M155" s="48">
        <f>Table1[[#This Row],[Profit]]/Table1[[#This Row],[Sales]]</f>
        <v>0.47499957308014135</v>
      </c>
    </row>
    <row r="156" spans="1:13" ht="18.600000000000001" thickBot="1" x14ac:dyDescent="0.55000000000000004">
      <c r="A156" s="4" t="s">
        <v>58</v>
      </c>
      <c r="B156" s="1" t="s">
        <v>14</v>
      </c>
      <c r="C156" s="1" t="s">
        <v>20</v>
      </c>
      <c r="D156" s="1" t="s">
        <v>27</v>
      </c>
      <c r="E156" s="30">
        <v>1054.56</v>
      </c>
      <c r="F156" s="2">
        <v>11</v>
      </c>
      <c r="G156" s="2">
        <v>0.1</v>
      </c>
      <c r="H156" s="3">
        <v>45669</v>
      </c>
      <c r="I156" s="34">
        <v>332.19</v>
      </c>
      <c r="J156" s="13" t="str">
        <f t="shared" si="8"/>
        <v>Low Discount</v>
      </c>
      <c r="K156" s="42">
        <f t="shared" ca="1" si="9"/>
        <v>46081.614984027779</v>
      </c>
      <c r="L156" s="41" t="str">
        <f>IF(Table1[Sales]&gt;1000,"High purchase","Normal purchase")</f>
        <v>High purchase</v>
      </c>
      <c r="M156" s="48">
        <f>Table1[[#This Row],[Profit]]/Table1[[#This Row],[Sales]]</f>
        <v>0.31500341374601731</v>
      </c>
    </row>
    <row r="157" spans="1:13" ht="18.600000000000001" thickBot="1" x14ac:dyDescent="0.55000000000000004">
      <c r="A157" s="4" t="s">
        <v>58</v>
      </c>
      <c r="B157" s="1" t="s">
        <v>23</v>
      </c>
      <c r="C157" s="1" t="s">
        <v>24</v>
      </c>
      <c r="D157" s="1" t="s">
        <v>21</v>
      </c>
      <c r="E157" s="30">
        <v>1681.21</v>
      </c>
      <c r="F157" s="2">
        <v>5</v>
      </c>
      <c r="G157" s="2">
        <v>0.2</v>
      </c>
      <c r="H157" s="3">
        <v>45670</v>
      </c>
      <c r="I157" s="34">
        <v>336.24</v>
      </c>
      <c r="J157" s="13" t="str">
        <f t="shared" si="8"/>
        <v>High Discount</v>
      </c>
      <c r="K157" s="42">
        <f t="shared" ca="1" si="9"/>
        <v>46081.614984027779</v>
      </c>
      <c r="L157" s="41" t="str">
        <f>IF(Table1[Sales]&gt;1000,"High purchase","Normal purchase")</f>
        <v>High purchase</v>
      </c>
      <c r="M157" s="48">
        <f>Table1[[#This Row],[Profit]]/Table1[[#This Row],[Sales]]</f>
        <v>0.19999881038061873</v>
      </c>
    </row>
    <row r="158" spans="1:13" ht="18.600000000000001" thickBot="1" x14ac:dyDescent="0.55000000000000004">
      <c r="A158" s="4" t="s">
        <v>58</v>
      </c>
      <c r="B158" s="1" t="s">
        <v>36</v>
      </c>
      <c r="C158" s="1" t="s">
        <v>11</v>
      </c>
      <c r="D158" s="1" t="s">
        <v>15</v>
      </c>
      <c r="E158" s="30">
        <v>379.77</v>
      </c>
      <c r="F158" s="2">
        <v>9</v>
      </c>
      <c r="G158" s="2">
        <v>0.05</v>
      </c>
      <c r="H158" s="3">
        <v>45673</v>
      </c>
      <c r="I158" s="34">
        <v>180.39</v>
      </c>
      <c r="J158" s="13" t="str">
        <f t="shared" si="8"/>
        <v>Low Discount</v>
      </c>
      <c r="K158" s="42">
        <f t="shared" ca="1" si="9"/>
        <v>46081.614984027779</v>
      </c>
      <c r="L158" s="41" t="str">
        <f>IF(Table1[Sales]&gt;1000,"High purchase","Normal purchase")</f>
        <v>Normal purchase</v>
      </c>
      <c r="M158" s="48">
        <f>Table1[[#This Row],[Profit]]/Table1[[#This Row],[Sales]]</f>
        <v>0.47499802512046763</v>
      </c>
    </row>
    <row r="159" spans="1:13" ht="18.600000000000001" thickBot="1" x14ac:dyDescent="0.55000000000000004">
      <c r="A159" s="4" t="s">
        <v>44</v>
      </c>
      <c r="B159" s="1" t="s">
        <v>45</v>
      </c>
      <c r="C159" s="1" t="s">
        <v>34</v>
      </c>
      <c r="D159" s="1" t="s">
        <v>15</v>
      </c>
      <c r="E159" s="30">
        <v>1076.33</v>
      </c>
      <c r="F159" s="2">
        <v>2</v>
      </c>
      <c r="G159" s="2">
        <v>0.1</v>
      </c>
      <c r="H159" s="3">
        <v>45674</v>
      </c>
      <c r="I159" s="34">
        <v>484.35</v>
      </c>
      <c r="J159" s="13" t="str">
        <f t="shared" si="8"/>
        <v>Low Discount</v>
      </c>
      <c r="K159" s="42">
        <f t="shared" ca="1" si="9"/>
        <v>46081.614984027779</v>
      </c>
      <c r="L159" s="41" t="str">
        <f>IF(Table1[Sales]&gt;1000,"High purchase","Normal purchase")</f>
        <v>High purchase</v>
      </c>
      <c r="M159" s="48">
        <f>Table1[[#This Row],[Profit]]/Table1[[#This Row],[Sales]]</f>
        <v>0.45000139362463193</v>
      </c>
    </row>
    <row r="160" spans="1:13" ht="18.600000000000001" thickBot="1" x14ac:dyDescent="0.55000000000000004">
      <c r="A160" s="4" t="s">
        <v>44</v>
      </c>
      <c r="B160" s="1" t="s">
        <v>31</v>
      </c>
      <c r="C160" s="1" t="s">
        <v>34</v>
      </c>
      <c r="D160" s="1" t="s">
        <v>39</v>
      </c>
      <c r="E160" s="30">
        <v>1250.71</v>
      </c>
      <c r="F160" s="2">
        <v>7</v>
      </c>
      <c r="G160" s="2">
        <v>0</v>
      </c>
      <c r="H160" s="3">
        <v>45674</v>
      </c>
      <c r="I160" s="34">
        <v>562.82000000000005</v>
      </c>
      <c r="J160" s="13" t="str">
        <f t="shared" si="8"/>
        <v>No Discount</v>
      </c>
      <c r="K160" s="42">
        <f t="shared" ca="1" si="9"/>
        <v>46081.614984027779</v>
      </c>
      <c r="L160" s="41" t="str">
        <f>IF(Table1[Sales]&gt;1000,"High purchase","Normal purchase")</f>
        <v>High purchase</v>
      </c>
      <c r="M160" s="48">
        <f>Table1[[#This Row],[Profit]]/Table1[[#This Row],[Sales]]</f>
        <v>0.45000039977292899</v>
      </c>
    </row>
    <row r="161" spans="1:13" ht="18.600000000000001" thickBot="1" x14ac:dyDescent="0.55000000000000004">
      <c r="A161" s="4" t="s">
        <v>40</v>
      </c>
      <c r="B161" s="1" t="s">
        <v>17</v>
      </c>
      <c r="C161" s="1" t="s">
        <v>20</v>
      </c>
      <c r="D161" s="1" t="s">
        <v>15</v>
      </c>
      <c r="E161" s="30">
        <v>1118.3399999999999</v>
      </c>
      <c r="F161" s="2">
        <v>6</v>
      </c>
      <c r="G161" s="2">
        <v>0.2</v>
      </c>
      <c r="H161" s="3">
        <v>45674</v>
      </c>
      <c r="I161" s="34">
        <v>447.34</v>
      </c>
      <c r="J161" s="13" t="str">
        <f t="shared" si="8"/>
        <v>High Discount</v>
      </c>
      <c r="K161" s="42">
        <f t="shared" ca="1" si="9"/>
        <v>46081.614984027779</v>
      </c>
      <c r="L161" s="41" t="str">
        <f>IF(Table1[Sales]&gt;1000,"High purchase","Normal purchase")</f>
        <v>High purchase</v>
      </c>
      <c r="M161" s="48">
        <f>Table1[[#This Row],[Profit]]/Table1[[#This Row],[Sales]]</f>
        <v>0.40000357672979597</v>
      </c>
    </row>
    <row r="162" spans="1:13" ht="18.600000000000001" thickBot="1" x14ac:dyDescent="0.55000000000000004">
      <c r="A162" s="4" t="s">
        <v>70</v>
      </c>
      <c r="B162" s="1" t="s">
        <v>53</v>
      </c>
      <c r="C162" s="1" t="s">
        <v>24</v>
      </c>
      <c r="D162" s="1" t="s">
        <v>15</v>
      </c>
      <c r="E162" s="30">
        <v>1622.62</v>
      </c>
      <c r="F162" s="2">
        <v>12</v>
      </c>
      <c r="G162" s="2">
        <v>0.2</v>
      </c>
      <c r="H162" s="3">
        <v>45677</v>
      </c>
      <c r="I162" s="34">
        <v>649.04999999999995</v>
      </c>
      <c r="J162" s="13" t="str">
        <f t="shared" ref="J162:J193" si="10">_xlfn.IFS(G162=0,"No Discount", G162&lt;=0.1,"Low Discount",G162&lt;=0.15,"Medium Discount",G162&gt;0.15,"High Discount")</f>
        <v>High Discount</v>
      </c>
      <c r="K162" s="42">
        <f t="shared" ref="K162:K193" ca="1" si="11">NOW()</f>
        <v>46081.614984027779</v>
      </c>
      <c r="L162" s="41" t="str">
        <f>IF(Table1[Sales]&gt;1000,"High purchase","Normal purchase")</f>
        <v>High purchase</v>
      </c>
      <c r="M162" s="48">
        <f>Table1[[#This Row],[Profit]]/Table1[[#This Row],[Sales]]</f>
        <v>0.40000123257447834</v>
      </c>
    </row>
    <row r="163" spans="1:13" ht="18.600000000000001" thickBot="1" x14ac:dyDescent="0.55000000000000004">
      <c r="A163" s="4" t="s">
        <v>75</v>
      </c>
      <c r="B163" s="1" t="s">
        <v>48</v>
      </c>
      <c r="C163" s="1" t="s">
        <v>24</v>
      </c>
      <c r="D163" s="1" t="s">
        <v>12</v>
      </c>
      <c r="E163" s="30">
        <v>640.64</v>
      </c>
      <c r="F163" s="2">
        <v>11</v>
      </c>
      <c r="G163" s="2">
        <v>0.2</v>
      </c>
      <c r="H163" s="3">
        <v>45678</v>
      </c>
      <c r="I163" s="34">
        <v>205</v>
      </c>
      <c r="J163" s="13" t="str">
        <f t="shared" si="10"/>
        <v>High Discount</v>
      </c>
      <c r="K163" s="42">
        <f t="shared" ca="1" si="11"/>
        <v>46081.614984027779</v>
      </c>
      <c r="L163" s="41" t="str">
        <f>IF(Table1[Sales]&gt;1000,"High purchase","Normal purchase")</f>
        <v>Normal purchase</v>
      </c>
      <c r="M163" s="48">
        <f>Table1[[#This Row],[Profit]]/Table1[[#This Row],[Sales]]</f>
        <v>0.31999250749250752</v>
      </c>
    </row>
    <row r="164" spans="1:13" ht="18.600000000000001" thickBot="1" x14ac:dyDescent="0.55000000000000004">
      <c r="A164" s="4" t="s">
        <v>22</v>
      </c>
      <c r="B164" s="1" t="s">
        <v>43</v>
      </c>
      <c r="C164" s="1" t="s">
        <v>11</v>
      </c>
      <c r="D164" s="1" t="s">
        <v>15</v>
      </c>
      <c r="E164" s="30">
        <v>585.16</v>
      </c>
      <c r="F164" s="2">
        <v>17</v>
      </c>
      <c r="G164" s="2">
        <v>0.1</v>
      </c>
      <c r="H164" s="3">
        <v>45684</v>
      </c>
      <c r="I164" s="34">
        <v>263.32</v>
      </c>
      <c r="J164" s="13" t="str">
        <f t="shared" si="10"/>
        <v>Low Discount</v>
      </c>
      <c r="K164" s="42">
        <f t="shared" ca="1" si="11"/>
        <v>46081.614984027779</v>
      </c>
      <c r="L164" s="41" t="str">
        <f>IF(Table1[Sales]&gt;1000,"High purchase","Normal purchase")</f>
        <v>Normal purchase</v>
      </c>
      <c r="M164" s="48">
        <f>Table1[[#This Row],[Profit]]/Table1[[#This Row],[Sales]]</f>
        <v>0.44999658213138288</v>
      </c>
    </row>
    <row r="165" spans="1:13" ht="18.600000000000001" thickBot="1" x14ac:dyDescent="0.55000000000000004">
      <c r="A165" s="4" t="s">
        <v>22</v>
      </c>
      <c r="B165" s="1" t="s">
        <v>31</v>
      </c>
      <c r="C165" s="1" t="s">
        <v>18</v>
      </c>
      <c r="D165" s="1" t="s">
        <v>15</v>
      </c>
      <c r="E165" s="30">
        <v>1109.98</v>
      </c>
      <c r="F165" s="2">
        <v>5</v>
      </c>
      <c r="G165" s="2">
        <v>0.2</v>
      </c>
      <c r="H165" s="3">
        <v>45690</v>
      </c>
      <c r="I165" s="34">
        <v>443.99</v>
      </c>
      <c r="J165" s="13" t="str">
        <f t="shared" si="10"/>
        <v>High Discount</v>
      </c>
      <c r="K165" s="42">
        <f t="shared" ca="1" si="11"/>
        <v>46081.614984027779</v>
      </c>
      <c r="L165" s="41" t="str">
        <f>IF(Table1[Sales]&gt;1000,"High purchase","Normal purchase")</f>
        <v>High purchase</v>
      </c>
      <c r="M165" s="48">
        <f>Table1[[#This Row],[Profit]]/Table1[[#This Row],[Sales]]</f>
        <v>0.39999819816573273</v>
      </c>
    </row>
    <row r="166" spans="1:13" ht="18.600000000000001" thickBot="1" x14ac:dyDescent="0.55000000000000004">
      <c r="A166" s="4" t="s">
        <v>58</v>
      </c>
      <c r="B166" s="1" t="s">
        <v>45</v>
      </c>
      <c r="C166" s="1" t="s">
        <v>18</v>
      </c>
      <c r="D166" s="1" t="s">
        <v>12</v>
      </c>
      <c r="E166" s="30">
        <v>1098.08</v>
      </c>
      <c r="F166" s="2">
        <v>9</v>
      </c>
      <c r="G166" s="2">
        <v>0.1</v>
      </c>
      <c r="H166" s="3">
        <v>45692</v>
      </c>
      <c r="I166" s="34">
        <v>395.31</v>
      </c>
      <c r="J166" s="13" t="str">
        <f t="shared" si="10"/>
        <v>Low Discount</v>
      </c>
      <c r="K166" s="42">
        <f t="shared" ca="1" si="11"/>
        <v>46081.614984027779</v>
      </c>
      <c r="L166" s="41" t="str">
        <f>IF(Table1[Sales]&gt;1000,"High purchase","Normal purchase")</f>
        <v>High purchase</v>
      </c>
      <c r="M166" s="48">
        <f>Table1[[#This Row],[Profit]]/Table1[[#This Row],[Sales]]</f>
        <v>0.36000109281655257</v>
      </c>
    </row>
    <row r="167" spans="1:13" ht="18.600000000000001" thickBot="1" x14ac:dyDescent="0.55000000000000004">
      <c r="A167" s="4" t="s">
        <v>65</v>
      </c>
      <c r="B167" s="1" t="s">
        <v>48</v>
      </c>
      <c r="C167" s="1" t="s">
        <v>11</v>
      </c>
      <c r="D167" s="1" t="s">
        <v>39</v>
      </c>
      <c r="E167" s="30">
        <v>827.25</v>
      </c>
      <c r="F167" s="2">
        <v>7</v>
      </c>
      <c r="G167" s="2">
        <v>0.1</v>
      </c>
      <c r="H167" s="3">
        <v>45693</v>
      </c>
      <c r="I167" s="34">
        <v>335.04</v>
      </c>
      <c r="J167" s="13" t="str">
        <f t="shared" si="10"/>
        <v>Low Discount</v>
      </c>
      <c r="K167" s="42">
        <f t="shared" ca="1" si="11"/>
        <v>46081.614984027779</v>
      </c>
      <c r="L167" s="41" t="str">
        <f>IF(Table1[Sales]&gt;1000,"High purchase","Normal purchase")</f>
        <v>Normal purchase</v>
      </c>
      <c r="M167" s="48">
        <f>Table1[[#This Row],[Profit]]/Table1[[#This Row],[Sales]]</f>
        <v>0.40500453309156847</v>
      </c>
    </row>
    <row r="168" spans="1:13" ht="18.600000000000001" thickBot="1" x14ac:dyDescent="0.55000000000000004">
      <c r="A168" s="4" t="s">
        <v>70</v>
      </c>
      <c r="B168" s="1" t="s">
        <v>29</v>
      </c>
      <c r="C168" s="1" t="s">
        <v>34</v>
      </c>
      <c r="D168" s="1" t="s">
        <v>15</v>
      </c>
      <c r="E168" s="30">
        <v>741.88</v>
      </c>
      <c r="F168" s="2">
        <v>16</v>
      </c>
      <c r="G168" s="2">
        <v>0.1</v>
      </c>
      <c r="H168" s="3">
        <v>45695</v>
      </c>
      <c r="I168" s="34">
        <v>333.85</v>
      </c>
      <c r="J168" s="13" t="str">
        <f t="shared" si="10"/>
        <v>Low Discount</v>
      </c>
      <c r="K168" s="42">
        <f t="shared" ca="1" si="11"/>
        <v>46081.614984027779</v>
      </c>
      <c r="L168" s="41" t="str">
        <f>IF(Table1[Sales]&gt;1000,"High purchase","Normal purchase")</f>
        <v>Normal purchase</v>
      </c>
      <c r="M168" s="48">
        <f>Table1[[#This Row],[Profit]]/Table1[[#This Row],[Sales]]</f>
        <v>0.45000539170755383</v>
      </c>
    </row>
    <row r="169" spans="1:13" ht="18.600000000000001" thickBot="1" x14ac:dyDescent="0.55000000000000004">
      <c r="A169" s="4" t="s">
        <v>72</v>
      </c>
      <c r="B169" s="1" t="s">
        <v>10</v>
      </c>
      <c r="C169" s="1" t="s">
        <v>18</v>
      </c>
      <c r="D169" s="1" t="s">
        <v>39</v>
      </c>
      <c r="E169" s="30">
        <v>1311.26</v>
      </c>
      <c r="F169" s="2">
        <v>6</v>
      </c>
      <c r="G169" s="2">
        <v>0.1</v>
      </c>
      <c r="H169" s="3">
        <v>45698</v>
      </c>
      <c r="I169" s="34">
        <v>531.05999999999995</v>
      </c>
      <c r="J169" s="13" t="str">
        <f t="shared" si="10"/>
        <v>Low Discount</v>
      </c>
      <c r="K169" s="42">
        <f t="shared" ca="1" si="11"/>
        <v>46081.614984027779</v>
      </c>
      <c r="L169" s="41" t="str">
        <f>IF(Table1[Sales]&gt;1000,"High purchase","Normal purchase")</f>
        <v>High purchase</v>
      </c>
      <c r="M169" s="48">
        <f>Table1[[#This Row],[Profit]]/Table1[[#This Row],[Sales]]</f>
        <v>0.40499977121242159</v>
      </c>
    </row>
    <row r="170" spans="1:13" ht="18.600000000000001" thickBot="1" x14ac:dyDescent="0.55000000000000004">
      <c r="A170" s="4" t="s">
        <v>72</v>
      </c>
      <c r="B170" s="1" t="s">
        <v>31</v>
      </c>
      <c r="C170" s="1" t="s">
        <v>20</v>
      </c>
      <c r="D170" s="1" t="s">
        <v>39</v>
      </c>
      <c r="E170" s="30">
        <v>573.32000000000005</v>
      </c>
      <c r="F170" s="2">
        <v>19</v>
      </c>
      <c r="G170" s="2">
        <v>0.1</v>
      </c>
      <c r="H170" s="3">
        <v>45703</v>
      </c>
      <c r="I170" s="34">
        <v>232.19</v>
      </c>
      <c r="J170" s="13" t="str">
        <f t="shared" si="10"/>
        <v>Low Discount</v>
      </c>
      <c r="K170" s="42">
        <f t="shared" ca="1" si="11"/>
        <v>46081.614984027779</v>
      </c>
      <c r="L170" s="41" t="str">
        <f>IF(Table1[Sales]&gt;1000,"High purchase","Normal purchase")</f>
        <v>Normal purchase</v>
      </c>
      <c r="M170" s="48">
        <f>Table1[[#This Row],[Profit]]/Table1[[#This Row],[Sales]]</f>
        <v>0.40499197655759434</v>
      </c>
    </row>
    <row r="171" spans="1:13" ht="18.600000000000001" thickBot="1" x14ac:dyDescent="0.55000000000000004">
      <c r="A171" s="4" t="s">
        <v>52</v>
      </c>
      <c r="B171" s="1" t="s">
        <v>23</v>
      </c>
      <c r="C171" s="1" t="s">
        <v>11</v>
      </c>
      <c r="D171" s="1" t="s">
        <v>21</v>
      </c>
      <c r="E171" s="30">
        <v>1115.22</v>
      </c>
      <c r="F171" s="2">
        <v>14</v>
      </c>
      <c r="G171" s="2">
        <v>0.2</v>
      </c>
      <c r="H171" s="3">
        <v>45705</v>
      </c>
      <c r="I171" s="34">
        <v>223.04</v>
      </c>
      <c r="J171" s="13" t="str">
        <f t="shared" si="10"/>
        <v>High Discount</v>
      </c>
      <c r="K171" s="42">
        <f t="shared" ca="1" si="11"/>
        <v>46081.614984027779</v>
      </c>
      <c r="L171" s="41" t="str">
        <f>IF(Table1[Sales]&gt;1000,"High purchase","Normal purchase")</f>
        <v>High purchase</v>
      </c>
      <c r="M171" s="48">
        <f>Table1[[#This Row],[Profit]]/Table1[[#This Row],[Sales]]</f>
        <v>0.19999641326375064</v>
      </c>
    </row>
    <row r="172" spans="1:13" ht="18.600000000000001" thickBot="1" x14ac:dyDescent="0.55000000000000004">
      <c r="A172" s="4" t="s">
        <v>13</v>
      </c>
      <c r="B172" s="1" t="s">
        <v>45</v>
      </c>
      <c r="C172" s="1" t="s">
        <v>24</v>
      </c>
      <c r="D172" s="1" t="s">
        <v>15</v>
      </c>
      <c r="E172" s="30">
        <v>845.84</v>
      </c>
      <c r="F172" s="2">
        <v>4</v>
      </c>
      <c r="G172" s="2">
        <v>0</v>
      </c>
      <c r="H172" s="3">
        <v>45707</v>
      </c>
      <c r="I172" s="34">
        <v>422.92</v>
      </c>
      <c r="J172" s="13" t="str">
        <f t="shared" si="10"/>
        <v>No Discount</v>
      </c>
      <c r="K172" s="42">
        <f t="shared" ca="1" si="11"/>
        <v>46081.614984027779</v>
      </c>
      <c r="L172" s="41" t="str">
        <f>IF(Table1[Sales]&gt;1000,"High purchase","Normal purchase")</f>
        <v>Normal purchase</v>
      </c>
      <c r="M172" s="48">
        <f>Table1[[#This Row],[Profit]]/Table1[[#This Row],[Sales]]</f>
        <v>0.5</v>
      </c>
    </row>
    <row r="173" spans="1:13" ht="18.600000000000001" thickBot="1" x14ac:dyDescent="0.55000000000000004">
      <c r="A173" s="4" t="s">
        <v>30</v>
      </c>
      <c r="B173" s="1" t="s">
        <v>55</v>
      </c>
      <c r="C173" s="1" t="s">
        <v>11</v>
      </c>
      <c r="D173" s="1" t="s">
        <v>21</v>
      </c>
      <c r="E173" s="30">
        <v>1029.8</v>
      </c>
      <c r="F173" s="2">
        <v>3</v>
      </c>
      <c r="G173" s="2">
        <v>0</v>
      </c>
      <c r="H173" s="3">
        <v>45708</v>
      </c>
      <c r="I173" s="34">
        <v>257.45</v>
      </c>
      <c r="J173" s="13" t="str">
        <f t="shared" si="10"/>
        <v>No Discount</v>
      </c>
      <c r="K173" s="42">
        <f t="shared" ca="1" si="11"/>
        <v>46081.614984027779</v>
      </c>
      <c r="L173" s="41" t="str">
        <f>IF(Table1[Sales]&gt;1000,"High purchase","Normal purchase")</f>
        <v>High purchase</v>
      </c>
      <c r="M173" s="48">
        <f>Table1[[#This Row],[Profit]]/Table1[[#This Row],[Sales]]</f>
        <v>0.25</v>
      </c>
    </row>
    <row r="174" spans="1:13" ht="18.600000000000001" thickBot="1" x14ac:dyDescent="0.55000000000000004">
      <c r="A174" s="4" t="s">
        <v>32</v>
      </c>
      <c r="B174" s="1" t="s">
        <v>31</v>
      </c>
      <c r="C174" s="1" t="s">
        <v>24</v>
      </c>
      <c r="D174" s="1" t="s">
        <v>12</v>
      </c>
      <c r="E174" s="30">
        <v>1189.83</v>
      </c>
      <c r="F174" s="2">
        <v>2</v>
      </c>
      <c r="G174" s="2">
        <v>0.2</v>
      </c>
      <c r="H174" s="3">
        <v>45709</v>
      </c>
      <c r="I174" s="34">
        <v>380.75</v>
      </c>
      <c r="J174" s="13" t="str">
        <f t="shared" si="10"/>
        <v>High Discount</v>
      </c>
      <c r="K174" s="42">
        <f t="shared" ca="1" si="11"/>
        <v>46081.614984027779</v>
      </c>
      <c r="L174" s="41" t="str">
        <f>IF(Table1[Sales]&gt;1000,"High purchase","Normal purchase")</f>
        <v>High purchase</v>
      </c>
      <c r="M174" s="48">
        <f>Table1[[#This Row],[Profit]]/Table1[[#This Row],[Sales]]</f>
        <v>0.32000369800727835</v>
      </c>
    </row>
    <row r="175" spans="1:13" ht="18.600000000000001" thickBot="1" x14ac:dyDescent="0.55000000000000004">
      <c r="A175" s="4" t="s">
        <v>67</v>
      </c>
      <c r="B175" s="1" t="s">
        <v>43</v>
      </c>
      <c r="C175" s="1" t="s">
        <v>20</v>
      </c>
      <c r="D175" s="1" t="s">
        <v>12</v>
      </c>
      <c r="E175" s="30">
        <v>704.28</v>
      </c>
      <c r="F175" s="2">
        <v>15</v>
      </c>
      <c r="G175" s="2">
        <v>0.2</v>
      </c>
      <c r="H175" s="3">
        <v>45712</v>
      </c>
      <c r="I175" s="34">
        <v>225.37</v>
      </c>
      <c r="J175" s="13" t="str">
        <f t="shared" si="10"/>
        <v>High Discount</v>
      </c>
      <c r="K175" s="42">
        <f t="shared" ca="1" si="11"/>
        <v>46081.614984027779</v>
      </c>
      <c r="L175" s="41" t="str">
        <f>IF(Table1[Sales]&gt;1000,"High purchase","Normal purchase")</f>
        <v>Normal purchase</v>
      </c>
      <c r="M175" s="48">
        <f>Table1[[#This Row],[Profit]]/Table1[[#This Row],[Sales]]</f>
        <v>0.32000056795592663</v>
      </c>
    </row>
    <row r="176" spans="1:13" ht="18.600000000000001" thickBot="1" x14ac:dyDescent="0.55000000000000004">
      <c r="A176" s="4" t="s">
        <v>65</v>
      </c>
      <c r="B176" s="1" t="s">
        <v>47</v>
      </c>
      <c r="C176" s="1" t="s">
        <v>34</v>
      </c>
      <c r="D176" s="1" t="s">
        <v>39</v>
      </c>
      <c r="E176" s="30">
        <v>1618.22</v>
      </c>
      <c r="F176" s="2">
        <v>12</v>
      </c>
      <c r="G176" s="2">
        <v>0.2</v>
      </c>
      <c r="H176" s="3">
        <v>45712</v>
      </c>
      <c r="I176" s="34">
        <v>582.55999999999995</v>
      </c>
      <c r="J176" s="13" t="str">
        <f t="shared" si="10"/>
        <v>High Discount</v>
      </c>
      <c r="K176" s="42">
        <f t="shared" ca="1" si="11"/>
        <v>46081.614984027779</v>
      </c>
      <c r="L176" s="41" t="str">
        <f>IF(Table1[Sales]&gt;1000,"High purchase","Normal purchase")</f>
        <v>High purchase</v>
      </c>
      <c r="M176" s="48">
        <f>Table1[[#This Row],[Profit]]/Table1[[#This Row],[Sales]]</f>
        <v>0.36000049437035753</v>
      </c>
    </row>
    <row r="177" spans="1:13" ht="18.600000000000001" thickBot="1" x14ac:dyDescent="0.55000000000000004">
      <c r="A177" s="4" t="s">
        <v>73</v>
      </c>
      <c r="B177" s="1" t="s">
        <v>53</v>
      </c>
      <c r="C177" s="1" t="s">
        <v>34</v>
      </c>
      <c r="D177" s="1" t="s">
        <v>12</v>
      </c>
      <c r="E177" s="30">
        <v>1014.43</v>
      </c>
      <c r="F177" s="2">
        <v>2</v>
      </c>
      <c r="G177" s="2">
        <v>0.15</v>
      </c>
      <c r="H177" s="3">
        <v>45713</v>
      </c>
      <c r="I177" s="34">
        <v>344.91</v>
      </c>
      <c r="J177" s="13" t="str">
        <f t="shared" si="10"/>
        <v>Medium Discount</v>
      </c>
      <c r="K177" s="42">
        <f t="shared" ca="1" si="11"/>
        <v>46081.614984027779</v>
      </c>
      <c r="L177" s="41" t="str">
        <f>IF(Table1[Sales]&gt;1000,"High purchase","Normal purchase")</f>
        <v>High purchase</v>
      </c>
      <c r="M177" s="48">
        <f>Table1[[#This Row],[Profit]]/Table1[[#This Row],[Sales]]</f>
        <v>0.34000374594599925</v>
      </c>
    </row>
    <row r="178" spans="1:13" ht="18.600000000000001" thickBot="1" x14ac:dyDescent="0.55000000000000004">
      <c r="A178" s="4" t="s">
        <v>75</v>
      </c>
      <c r="B178" s="1" t="s">
        <v>31</v>
      </c>
      <c r="C178" s="1" t="s">
        <v>34</v>
      </c>
      <c r="D178" s="1" t="s">
        <v>15</v>
      </c>
      <c r="E178" s="30">
        <v>826.97</v>
      </c>
      <c r="F178" s="2">
        <v>18</v>
      </c>
      <c r="G178" s="2">
        <v>0.2</v>
      </c>
      <c r="H178" s="3">
        <v>45715</v>
      </c>
      <c r="I178" s="34">
        <v>330.79</v>
      </c>
      <c r="J178" s="13" t="str">
        <f t="shared" si="10"/>
        <v>High Discount</v>
      </c>
      <c r="K178" s="42">
        <f t="shared" ca="1" si="11"/>
        <v>46081.614984027779</v>
      </c>
      <c r="L178" s="41" t="str">
        <f>IF(Table1[Sales]&gt;1000,"High purchase","Normal purchase")</f>
        <v>Normal purchase</v>
      </c>
      <c r="M178" s="48">
        <f>Table1[[#This Row],[Profit]]/Table1[[#This Row],[Sales]]</f>
        <v>0.40000241846741719</v>
      </c>
    </row>
    <row r="179" spans="1:13" ht="18.600000000000001" thickBot="1" x14ac:dyDescent="0.55000000000000004">
      <c r="A179" s="4" t="s">
        <v>16</v>
      </c>
      <c r="B179" s="1" t="s">
        <v>31</v>
      </c>
      <c r="C179" s="1" t="s">
        <v>34</v>
      </c>
      <c r="D179" s="1" t="s">
        <v>15</v>
      </c>
      <c r="E179" s="30">
        <v>1022.23</v>
      </c>
      <c r="F179" s="2">
        <v>8</v>
      </c>
      <c r="G179" s="2">
        <v>0.1</v>
      </c>
      <c r="H179" s="3">
        <v>45717</v>
      </c>
      <c r="I179" s="34">
        <v>460</v>
      </c>
      <c r="J179" s="13" t="str">
        <f t="shared" si="10"/>
        <v>Low Discount</v>
      </c>
      <c r="K179" s="42">
        <f t="shared" ca="1" si="11"/>
        <v>46081.614984027779</v>
      </c>
      <c r="L179" s="41" t="str">
        <f>IF(Table1[Sales]&gt;1000,"High purchase","Normal purchase")</f>
        <v>High purchase</v>
      </c>
      <c r="M179" s="48">
        <f>Table1[[#This Row],[Profit]]/Table1[[#This Row],[Sales]]</f>
        <v>0.44999657611300781</v>
      </c>
    </row>
    <row r="180" spans="1:13" ht="18.600000000000001" thickBot="1" x14ac:dyDescent="0.55000000000000004">
      <c r="A180" s="4" t="s">
        <v>72</v>
      </c>
      <c r="B180" s="1" t="s">
        <v>29</v>
      </c>
      <c r="C180" s="1" t="s">
        <v>18</v>
      </c>
      <c r="D180" s="1" t="s">
        <v>12</v>
      </c>
      <c r="E180" s="30">
        <v>1099.69</v>
      </c>
      <c r="F180" s="2">
        <v>6</v>
      </c>
      <c r="G180" s="2">
        <v>0</v>
      </c>
      <c r="H180" s="3">
        <v>45718</v>
      </c>
      <c r="I180" s="34">
        <v>439.88</v>
      </c>
      <c r="J180" s="13" t="str">
        <f t="shared" si="10"/>
        <v>No Discount</v>
      </c>
      <c r="K180" s="42">
        <f t="shared" ca="1" si="11"/>
        <v>46081.614984027779</v>
      </c>
      <c r="L180" s="41" t="str">
        <f>IF(Table1[Sales]&gt;1000,"High purchase","Normal purchase")</f>
        <v>High purchase</v>
      </c>
      <c r="M180" s="48">
        <f>Table1[[#This Row],[Profit]]/Table1[[#This Row],[Sales]]</f>
        <v>0.40000363738871864</v>
      </c>
    </row>
    <row r="181" spans="1:13" ht="18.600000000000001" thickBot="1" x14ac:dyDescent="0.55000000000000004">
      <c r="A181" s="4" t="s">
        <v>52</v>
      </c>
      <c r="B181" s="1" t="s">
        <v>64</v>
      </c>
      <c r="C181" s="1" t="s">
        <v>24</v>
      </c>
      <c r="D181" s="1" t="s">
        <v>12</v>
      </c>
      <c r="E181" s="30">
        <v>710.52</v>
      </c>
      <c r="F181" s="2">
        <v>8</v>
      </c>
      <c r="G181" s="2">
        <v>0.1</v>
      </c>
      <c r="H181" s="3">
        <v>45721</v>
      </c>
      <c r="I181" s="34">
        <v>255.79</v>
      </c>
      <c r="J181" s="13" t="str">
        <f t="shared" si="10"/>
        <v>Low Discount</v>
      </c>
      <c r="K181" s="42">
        <f t="shared" ca="1" si="11"/>
        <v>46081.614984027779</v>
      </c>
      <c r="L181" s="41" t="str">
        <f>IF(Table1[Sales]&gt;1000,"High purchase","Normal purchase")</f>
        <v>Normal purchase</v>
      </c>
      <c r="M181" s="48">
        <f>Table1[[#This Row],[Profit]]/Table1[[#This Row],[Sales]]</f>
        <v>0.36000394077576986</v>
      </c>
    </row>
    <row r="182" spans="1:13" ht="18.600000000000001" thickBot="1" x14ac:dyDescent="0.55000000000000004">
      <c r="A182" s="4" t="s">
        <v>52</v>
      </c>
      <c r="B182" s="1" t="s">
        <v>59</v>
      </c>
      <c r="C182" s="1" t="s">
        <v>24</v>
      </c>
      <c r="D182" s="1" t="s">
        <v>12</v>
      </c>
      <c r="E182" s="30">
        <v>499.18</v>
      </c>
      <c r="F182" s="2">
        <v>15</v>
      </c>
      <c r="G182" s="2">
        <v>0.2</v>
      </c>
      <c r="H182" s="3">
        <v>45724</v>
      </c>
      <c r="I182" s="34">
        <v>159.74</v>
      </c>
      <c r="J182" s="13" t="str">
        <f t="shared" si="10"/>
        <v>High Discount</v>
      </c>
      <c r="K182" s="42">
        <f t="shared" ca="1" si="11"/>
        <v>46081.614984027779</v>
      </c>
      <c r="L182" s="41" t="str">
        <f>IF(Table1[Sales]&gt;1000,"High purchase","Normal purchase")</f>
        <v>Normal purchase</v>
      </c>
      <c r="M182" s="48">
        <f>Table1[[#This Row],[Profit]]/Table1[[#This Row],[Sales]]</f>
        <v>0.3200048078849313</v>
      </c>
    </row>
    <row r="183" spans="1:13" ht="18.600000000000001" thickBot="1" x14ac:dyDescent="0.55000000000000004">
      <c r="A183" s="4" t="s">
        <v>37</v>
      </c>
      <c r="B183" s="1" t="s">
        <v>38</v>
      </c>
      <c r="C183" s="1" t="s">
        <v>20</v>
      </c>
      <c r="D183" s="1" t="s">
        <v>12</v>
      </c>
      <c r="E183" s="30">
        <v>1064.19</v>
      </c>
      <c r="F183" s="2">
        <v>18</v>
      </c>
      <c r="G183" s="2">
        <v>0.05</v>
      </c>
      <c r="H183" s="3">
        <v>45725</v>
      </c>
      <c r="I183" s="34">
        <v>404.39</v>
      </c>
      <c r="J183" s="13" t="str">
        <f t="shared" si="10"/>
        <v>Low Discount</v>
      </c>
      <c r="K183" s="42">
        <f t="shared" ca="1" si="11"/>
        <v>46081.614984027779</v>
      </c>
      <c r="L183" s="41" t="str">
        <f>IF(Table1[Sales]&gt;1000,"High purchase","Normal purchase")</f>
        <v>High purchase</v>
      </c>
      <c r="M183" s="48">
        <f>Table1[[#This Row],[Profit]]/Table1[[#This Row],[Sales]]</f>
        <v>0.37999793269998777</v>
      </c>
    </row>
    <row r="184" spans="1:13" ht="18.600000000000001" thickBot="1" x14ac:dyDescent="0.55000000000000004">
      <c r="A184" s="4" t="s">
        <v>67</v>
      </c>
      <c r="B184" s="1" t="s">
        <v>38</v>
      </c>
      <c r="C184" s="1" t="s">
        <v>18</v>
      </c>
      <c r="D184" s="1" t="s">
        <v>39</v>
      </c>
      <c r="E184" s="30">
        <v>438.76</v>
      </c>
      <c r="F184" s="2">
        <v>18</v>
      </c>
      <c r="G184" s="2">
        <v>0.05</v>
      </c>
      <c r="H184" s="3">
        <v>45726</v>
      </c>
      <c r="I184" s="34">
        <v>187.57</v>
      </c>
      <c r="J184" s="13" t="str">
        <f t="shared" si="10"/>
        <v>Low Discount</v>
      </c>
      <c r="K184" s="42">
        <f t="shared" ca="1" si="11"/>
        <v>46081.614984027779</v>
      </c>
      <c r="L184" s="41" t="str">
        <f>IF(Table1[Sales]&gt;1000,"High purchase","Normal purchase")</f>
        <v>Normal purchase</v>
      </c>
      <c r="M184" s="48">
        <f>Table1[[#This Row],[Profit]]/Table1[[#This Row],[Sales]]</f>
        <v>0.42750022791503328</v>
      </c>
    </row>
    <row r="185" spans="1:13" ht="18.600000000000001" thickBot="1" x14ac:dyDescent="0.55000000000000004">
      <c r="A185" s="4" t="s">
        <v>41</v>
      </c>
      <c r="B185" s="1" t="s">
        <v>55</v>
      </c>
      <c r="C185" s="1" t="s">
        <v>11</v>
      </c>
      <c r="D185" s="1" t="s">
        <v>15</v>
      </c>
      <c r="E185" s="30">
        <v>864.98</v>
      </c>
      <c r="F185" s="2">
        <v>2</v>
      </c>
      <c r="G185" s="2">
        <v>0.05</v>
      </c>
      <c r="H185" s="3">
        <v>45727</v>
      </c>
      <c r="I185" s="34">
        <v>410.87</v>
      </c>
      <c r="J185" s="13" t="str">
        <f t="shared" si="10"/>
        <v>Low Discount</v>
      </c>
      <c r="K185" s="42">
        <f t="shared" ca="1" si="11"/>
        <v>46081.614984027779</v>
      </c>
      <c r="L185" s="41" t="str">
        <f>IF(Table1[Sales]&gt;1000,"High purchase","Normal purchase")</f>
        <v>Normal purchase</v>
      </c>
      <c r="M185" s="48">
        <f>Table1[[#This Row],[Profit]]/Table1[[#This Row],[Sales]]</f>
        <v>0.47500520243242617</v>
      </c>
    </row>
    <row r="186" spans="1:13" ht="18.600000000000001" thickBot="1" x14ac:dyDescent="0.55000000000000004">
      <c r="A186" s="4" t="s">
        <v>57</v>
      </c>
      <c r="B186" s="1" t="s">
        <v>55</v>
      </c>
      <c r="C186" s="1" t="s">
        <v>11</v>
      </c>
      <c r="D186" s="1" t="s">
        <v>27</v>
      </c>
      <c r="E186" s="30">
        <v>984.93</v>
      </c>
      <c r="F186" s="2">
        <v>14</v>
      </c>
      <c r="G186" s="2">
        <v>0.2</v>
      </c>
      <c r="H186" s="3">
        <v>45733</v>
      </c>
      <c r="I186" s="34">
        <v>275.77999999999997</v>
      </c>
      <c r="J186" s="13" t="str">
        <f t="shared" si="10"/>
        <v>High Discount</v>
      </c>
      <c r="K186" s="42">
        <f t="shared" ca="1" si="11"/>
        <v>46081.614984027779</v>
      </c>
      <c r="L186" s="41" t="str">
        <f>IF(Table1[Sales]&gt;1000,"High purchase","Normal purchase")</f>
        <v>Normal purchase</v>
      </c>
      <c r="M186" s="48">
        <f>Table1[[#This Row],[Profit]]/Table1[[#This Row],[Sales]]</f>
        <v>0.27999959387976808</v>
      </c>
    </row>
    <row r="187" spans="1:13" ht="18.600000000000001" thickBot="1" x14ac:dyDescent="0.55000000000000004">
      <c r="A187" s="4" t="s">
        <v>25</v>
      </c>
      <c r="B187" s="1" t="s">
        <v>55</v>
      </c>
      <c r="C187" s="1" t="s">
        <v>11</v>
      </c>
      <c r="D187" s="1" t="s">
        <v>15</v>
      </c>
      <c r="E187" s="30">
        <v>1493.49</v>
      </c>
      <c r="F187" s="2">
        <v>18</v>
      </c>
      <c r="G187" s="2">
        <v>0</v>
      </c>
      <c r="H187" s="3">
        <v>45734</v>
      </c>
      <c r="I187" s="34">
        <v>746.74</v>
      </c>
      <c r="J187" s="13" t="str">
        <f t="shared" si="10"/>
        <v>No Discount</v>
      </c>
      <c r="K187" s="42">
        <f t="shared" ca="1" si="11"/>
        <v>46081.614984027779</v>
      </c>
      <c r="L187" s="41" t="str">
        <f>IF(Table1[Sales]&gt;1000,"High purchase","Normal purchase")</f>
        <v>High purchase</v>
      </c>
      <c r="M187" s="48">
        <f>Table1[[#This Row],[Profit]]/Table1[[#This Row],[Sales]]</f>
        <v>0.499996652136941</v>
      </c>
    </row>
    <row r="188" spans="1:13" ht="18.600000000000001" thickBot="1" x14ac:dyDescent="0.55000000000000004">
      <c r="A188" s="4" t="s">
        <v>32</v>
      </c>
      <c r="B188" s="1" t="s">
        <v>53</v>
      </c>
      <c r="C188" s="1" t="s">
        <v>20</v>
      </c>
      <c r="D188" s="1" t="s">
        <v>15</v>
      </c>
      <c r="E188" s="30">
        <v>689.43</v>
      </c>
      <c r="F188" s="2">
        <v>9</v>
      </c>
      <c r="G188" s="2">
        <v>0.1</v>
      </c>
      <c r="H188" s="3">
        <v>45736</v>
      </c>
      <c r="I188" s="34">
        <v>310.24</v>
      </c>
      <c r="J188" s="13" t="str">
        <f t="shared" si="10"/>
        <v>Low Discount</v>
      </c>
      <c r="K188" s="42">
        <f t="shared" ca="1" si="11"/>
        <v>46081.614984027779</v>
      </c>
      <c r="L188" s="41" t="str">
        <f>IF(Table1[Sales]&gt;1000,"High purchase","Normal purchase")</f>
        <v>Normal purchase</v>
      </c>
      <c r="M188" s="48">
        <f>Table1[[#This Row],[Profit]]/Table1[[#This Row],[Sales]]</f>
        <v>0.44999492334247138</v>
      </c>
    </row>
    <row r="189" spans="1:13" ht="18.600000000000001" thickBot="1" x14ac:dyDescent="0.55000000000000004">
      <c r="A189" s="4" t="s">
        <v>40</v>
      </c>
      <c r="B189" s="1" t="s">
        <v>59</v>
      </c>
      <c r="C189" s="1" t="s">
        <v>20</v>
      </c>
      <c r="D189" s="1" t="s">
        <v>15</v>
      </c>
      <c r="E189" s="30">
        <v>682.24</v>
      </c>
      <c r="F189" s="2">
        <v>1</v>
      </c>
      <c r="G189" s="2">
        <v>0</v>
      </c>
      <c r="H189" s="3">
        <v>45738</v>
      </c>
      <c r="I189" s="34">
        <v>341.12</v>
      </c>
      <c r="J189" s="13" t="str">
        <f t="shared" si="10"/>
        <v>No Discount</v>
      </c>
      <c r="K189" s="42">
        <f t="shared" ca="1" si="11"/>
        <v>46081.614984027779</v>
      </c>
      <c r="L189" s="41" t="str">
        <f>IF(Table1[Sales]&gt;1000,"High purchase","Normal purchase")</f>
        <v>Normal purchase</v>
      </c>
      <c r="M189" s="48">
        <f>Table1[[#This Row],[Profit]]/Table1[[#This Row],[Sales]]</f>
        <v>0.5</v>
      </c>
    </row>
    <row r="190" spans="1:13" ht="18.600000000000001" thickBot="1" x14ac:dyDescent="0.55000000000000004">
      <c r="A190" s="4" t="s">
        <v>41</v>
      </c>
      <c r="B190" s="1" t="s">
        <v>26</v>
      </c>
      <c r="C190" s="1" t="s">
        <v>24</v>
      </c>
      <c r="D190" s="1" t="s">
        <v>21</v>
      </c>
      <c r="E190" s="30">
        <v>458.54</v>
      </c>
      <c r="F190" s="2">
        <v>15</v>
      </c>
      <c r="G190" s="2">
        <v>0.2</v>
      </c>
      <c r="H190" s="3">
        <v>45741</v>
      </c>
      <c r="I190" s="34">
        <v>91.71</v>
      </c>
      <c r="J190" s="13" t="str">
        <f t="shared" si="10"/>
        <v>High Discount</v>
      </c>
      <c r="K190" s="42">
        <f t="shared" ca="1" si="11"/>
        <v>46081.614984027779</v>
      </c>
      <c r="L190" s="41" t="str">
        <f>IF(Table1[Sales]&gt;1000,"High purchase","Normal purchase")</f>
        <v>Normal purchase</v>
      </c>
      <c r="M190" s="48">
        <f>Table1[[#This Row],[Profit]]/Table1[[#This Row],[Sales]]</f>
        <v>0.20000436166964711</v>
      </c>
    </row>
    <row r="191" spans="1:13" ht="18.600000000000001" thickBot="1" x14ac:dyDescent="0.55000000000000004">
      <c r="A191" s="4" t="s">
        <v>32</v>
      </c>
      <c r="B191" s="1" t="s">
        <v>26</v>
      </c>
      <c r="C191" s="1" t="s">
        <v>20</v>
      </c>
      <c r="D191" s="1" t="s">
        <v>27</v>
      </c>
      <c r="E191" s="30">
        <v>1184.25</v>
      </c>
      <c r="F191" s="2">
        <v>11</v>
      </c>
      <c r="G191" s="2">
        <v>0.2</v>
      </c>
      <c r="H191" s="3">
        <v>45742</v>
      </c>
      <c r="I191" s="34">
        <v>331.59</v>
      </c>
      <c r="J191" s="13" t="str">
        <f t="shared" si="10"/>
        <v>High Discount</v>
      </c>
      <c r="K191" s="42">
        <f t="shared" ca="1" si="11"/>
        <v>46081.614984027779</v>
      </c>
      <c r="L191" s="41" t="str">
        <f>IF(Table1[Sales]&gt;1000,"High purchase","Normal purchase")</f>
        <v>High purchase</v>
      </c>
      <c r="M191" s="48">
        <f>Table1[[#This Row],[Profit]]/Table1[[#This Row],[Sales]]</f>
        <v>0.27999999999999997</v>
      </c>
    </row>
    <row r="192" spans="1:13" ht="18.600000000000001" thickBot="1" x14ac:dyDescent="0.55000000000000004">
      <c r="A192" s="4" t="s">
        <v>25</v>
      </c>
      <c r="B192" s="1" t="s">
        <v>10</v>
      </c>
      <c r="C192" s="1" t="s">
        <v>20</v>
      </c>
      <c r="D192" s="1" t="s">
        <v>15</v>
      </c>
      <c r="E192" s="30">
        <v>762.14</v>
      </c>
      <c r="F192" s="2">
        <v>9</v>
      </c>
      <c r="G192" s="2">
        <v>0</v>
      </c>
      <c r="H192" s="3">
        <v>45743</v>
      </c>
      <c r="I192" s="34">
        <v>381.07</v>
      </c>
      <c r="J192" s="13" t="str">
        <f t="shared" si="10"/>
        <v>No Discount</v>
      </c>
      <c r="K192" s="42">
        <f t="shared" ca="1" si="11"/>
        <v>46081.614984027779</v>
      </c>
      <c r="L192" s="41" t="str">
        <f>IF(Table1[Sales]&gt;1000,"High purchase","Normal purchase")</f>
        <v>Normal purchase</v>
      </c>
      <c r="M192" s="48">
        <f>Table1[[#This Row],[Profit]]/Table1[[#This Row],[Sales]]</f>
        <v>0.5</v>
      </c>
    </row>
    <row r="193" spans="1:13" ht="18.600000000000001" thickBot="1" x14ac:dyDescent="0.55000000000000004">
      <c r="A193" s="4" t="s">
        <v>22</v>
      </c>
      <c r="B193" s="1" t="s">
        <v>53</v>
      </c>
      <c r="C193" s="1" t="s">
        <v>24</v>
      </c>
      <c r="D193" s="1" t="s">
        <v>12</v>
      </c>
      <c r="E193" s="30">
        <v>750.71</v>
      </c>
      <c r="F193" s="2">
        <v>10</v>
      </c>
      <c r="G193" s="2">
        <v>0.15</v>
      </c>
      <c r="H193" s="3">
        <v>45743</v>
      </c>
      <c r="I193" s="34">
        <v>255.24</v>
      </c>
      <c r="J193" s="13" t="str">
        <f t="shared" si="10"/>
        <v>Medium Discount</v>
      </c>
      <c r="K193" s="42">
        <f t="shared" ca="1" si="11"/>
        <v>46081.614984027779</v>
      </c>
      <c r="L193" s="41" t="str">
        <f>IF(Table1[Sales]&gt;1000,"High purchase","Normal purchase")</f>
        <v>Normal purchase</v>
      </c>
      <c r="M193" s="48">
        <f>Table1[[#This Row],[Profit]]/Table1[[#This Row],[Sales]]</f>
        <v>0.33999813509877314</v>
      </c>
    </row>
    <row r="194" spans="1:13" ht="18.600000000000001" thickBot="1" x14ac:dyDescent="0.55000000000000004">
      <c r="A194" s="4" t="s">
        <v>75</v>
      </c>
      <c r="B194" s="1" t="s">
        <v>71</v>
      </c>
      <c r="C194" s="1" t="s">
        <v>34</v>
      </c>
      <c r="D194" s="1" t="s">
        <v>15</v>
      </c>
      <c r="E194" s="30">
        <v>1456.94</v>
      </c>
      <c r="F194" s="2">
        <v>14</v>
      </c>
      <c r="G194" s="2">
        <v>0.05</v>
      </c>
      <c r="H194" s="3">
        <v>45745</v>
      </c>
      <c r="I194" s="34">
        <v>692.05</v>
      </c>
      <c r="J194" s="13" t="str">
        <f t="shared" ref="J194:J201" si="12">_xlfn.IFS(G194=0,"No Discount", G194&lt;=0.1,"Low Discount",G194&lt;=0.15,"Medium Discount",G194&gt;0.15,"High Discount")</f>
        <v>Low Discount</v>
      </c>
      <c r="K194" s="42">
        <f t="shared" ref="K194:K201" ca="1" si="13">NOW()</f>
        <v>46081.614984027779</v>
      </c>
      <c r="L194" s="41" t="str">
        <f>IF(Table1[Sales]&gt;1000,"High purchase","Normal purchase")</f>
        <v>High purchase</v>
      </c>
      <c r="M194" s="48">
        <f>Table1[[#This Row],[Profit]]/Table1[[#This Row],[Sales]]</f>
        <v>0.47500240229522145</v>
      </c>
    </row>
    <row r="195" spans="1:13" ht="18.600000000000001" thickBot="1" x14ac:dyDescent="0.55000000000000004">
      <c r="A195" s="4" t="s">
        <v>44</v>
      </c>
      <c r="B195" s="1" t="s">
        <v>61</v>
      </c>
      <c r="C195" s="1" t="s">
        <v>18</v>
      </c>
      <c r="D195" s="1" t="s">
        <v>27</v>
      </c>
      <c r="E195" s="30">
        <v>1093.3800000000001</v>
      </c>
      <c r="F195" s="2">
        <v>17</v>
      </c>
      <c r="G195" s="2">
        <v>0.1</v>
      </c>
      <c r="H195" s="3">
        <v>45745</v>
      </c>
      <c r="I195" s="34">
        <v>344.41</v>
      </c>
      <c r="J195" s="13" t="str">
        <f t="shared" si="12"/>
        <v>Low Discount</v>
      </c>
      <c r="K195" s="42">
        <f t="shared" ca="1" si="13"/>
        <v>46081.614984027779</v>
      </c>
      <c r="L195" s="41" t="str">
        <f>IF(Table1[Sales]&gt;1000,"High purchase","Normal purchase")</f>
        <v>High purchase</v>
      </c>
      <c r="M195" s="48">
        <f>Table1[[#This Row],[Profit]]/Table1[[#This Row],[Sales]]</f>
        <v>0.31499570140298888</v>
      </c>
    </row>
    <row r="196" spans="1:13" ht="18.600000000000001" thickBot="1" x14ac:dyDescent="0.55000000000000004">
      <c r="A196" s="4" t="s">
        <v>37</v>
      </c>
      <c r="B196" s="1" t="s">
        <v>43</v>
      </c>
      <c r="C196" s="1" t="s">
        <v>11</v>
      </c>
      <c r="D196" s="1" t="s">
        <v>15</v>
      </c>
      <c r="E196" s="30">
        <v>934.27</v>
      </c>
      <c r="F196" s="2">
        <v>8</v>
      </c>
      <c r="G196" s="2">
        <v>0.15</v>
      </c>
      <c r="H196" s="3">
        <v>45746</v>
      </c>
      <c r="I196" s="34">
        <v>397.06</v>
      </c>
      <c r="J196" s="13" t="str">
        <f t="shared" si="12"/>
        <v>Medium Discount</v>
      </c>
      <c r="K196" s="42">
        <f t="shared" ca="1" si="13"/>
        <v>46081.614984027779</v>
      </c>
      <c r="L196" s="41" t="str">
        <f>IF(Table1[Sales]&gt;1000,"High purchase","Normal purchase")</f>
        <v>Normal purchase</v>
      </c>
      <c r="M196" s="48">
        <f>Table1[[#This Row],[Profit]]/Table1[[#This Row],[Sales]]</f>
        <v>0.42499491581662691</v>
      </c>
    </row>
    <row r="197" spans="1:13" ht="18.600000000000001" thickBot="1" x14ac:dyDescent="0.55000000000000004">
      <c r="A197" s="4" t="s">
        <v>70</v>
      </c>
      <c r="B197" s="1" t="s">
        <v>36</v>
      </c>
      <c r="C197" s="1" t="s">
        <v>34</v>
      </c>
      <c r="D197" s="1" t="s">
        <v>15</v>
      </c>
      <c r="E197" s="30">
        <v>1465.35</v>
      </c>
      <c r="F197" s="2">
        <v>8</v>
      </c>
      <c r="G197" s="2">
        <v>0.2</v>
      </c>
      <c r="H197" s="3">
        <v>45746</v>
      </c>
      <c r="I197" s="34">
        <v>586.14</v>
      </c>
      <c r="J197" s="13" t="str">
        <f t="shared" si="12"/>
        <v>High Discount</v>
      </c>
      <c r="K197" s="42">
        <f t="shared" ca="1" si="13"/>
        <v>46081.614984027779</v>
      </c>
      <c r="L197" s="41" t="str">
        <f>IF(Table1[Sales]&gt;1000,"High purchase","Normal purchase")</f>
        <v>High purchase</v>
      </c>
      <c r="M197" s="48">
        <f>Table1[[#This Row],[Profit]]/Table1[[#This Row],[Sales]]</f>
        <v>0.4</v>
      </c>
    </row>
    <row r="198" spans="1:13" ht="18.600000000000001" thickBot="1" x14ac:dyDescent="0.55000000000000004">
      <c r="A198" s="4" t="s">
        <v>52</v>
      </c>
      <c r="B198" s="1" t="s">
        <v>14</v>
      </c>
      <c r="C198" s="1" t="s">
        <v>20</v>
      </c>
      <c r="D198" s="1" t="s">
        <v>39</v>
      </c>
      <c r="E198" s="30">
        <v>740.8</v>
      </c>
      <c r="F198" s="2">
        <v>3</v>
      </c>
      <c r="G198" s="2">
        <v>0</v>
      </c>
      <c r="H198" s="3">
        <v>45749</v>
      </c>
      <c r="I198" s="34">
        <v>333.36</v>
      </c>
      <c r="J198" s="13" t="str">
        <f t="shared" si="12"/>
        <v>No Discount</v>
      </c>
      <c r="K198" s="42">
        <f t="shared" ca="1" si="13"/>
        <v>46081.614984027779</v>
      </c>
      <c r="L198" s="41" t="str">
        <f>IF(Table1[Sales]&gt;1000,"High purchase","Normal purchase")</f>
        <v>Normal purchase</v>
      </c>
      <c r="M198" s="48">
        <f>Table1[[#This Row],[Profit]]/Table1[[#This Row],[Sales]]</f>
        <v>0.45000000000000007</v>
      </c>
    </row>
    <row r="199" spans="1:13" ht="18.600000000000001" thickBot="1" x14ac:dyDescent="0.55000000000000004">
      <c r="A199" s="4" t="s">
        <v>58</v>
      </c>
      <c r="B199" s="1" t="s">
        <v>43</v>
      </c>
      <c r="C199" s="1" t="s">
        <v>11</v>
      </c>
      <c r="D199" s="1" t="s">
        <v>39</v>
      </c>
      <c r="E199" s="30">
        <v>545.44000000000005</v>
      </c>
      <c r="F199" s="2">
        <v>17</v>
      </c>
      <c r="G199" s="2">
        <v>0</v>
      </c>
      <c r="H199" s="3">
        <v>45752</v>
      </c>
      <c r="I199" s="34">
        <v>245.45</v>
      </c>
      <c r="J199" s="13" t="str">
        <f t="shared" si="12"/>
        <v>No Discount</v>
      </c>
      <c r="K199" s="42">
        <f t="shared" ca="1" si="13"/>
        <v>46081.614984027779</v>
      </c>
      <c r="L199" s="41" t="str">
        <f>IF(Table1[Sales]&gt;1000,"High purchase","Normal purchase")</f>
        <v>Normal purchase</v>
      </c>
      <c r="M199" s="48">
        <f>Table1[[#This Row],[Profit]]/Table1[[#This Row],[Sales]]</f>
        <v>0.45000366676444697</v>
      </c>
    </row>
    <row r="200" spans="1:13" ht="18.600000000000001" thickBot="1" x14ac:dyDescent="0.55000000000000004">
      <c r="A200" s="4" t="s">
        <v>35</v>
      </c>
      <c r="B200" s="1" t="s">
        <v>36</v>
      </c>
      <c r="C200" s="1" t="s">
        <v>18</v>
      </c>
      <c r="D200" s="1" t="s">
        <v>12</v>
      </c>
      <c r="E200" s="30">
        <v>997.61</v>
      </c>
      <c r="F200" s="2">
        <v>8</v>
      </c>
      <c r="G200" s="2">
        <v>0.05</v>
      </c>
      <c r="H200" s="3">
        <v>45752</v>
      </c>
      <c r="I200" s="34">
        <v>379.09</v>
      </c>
      <c r="J200" s="13" t="str">
        <f t="shared" si="12"/>
        <v>Low Discount</v>
      </c>
      <c r="K200" s="42">
        <f t="shared" ca="1" si="13"/>
        <v>46081.614984027779</v>
      </c>
      <c r="L200" s="41" t="str">
        <f>IF(Table1[Sales]&gt;1000,"High purchase","Normal purchase")</f>
        <v>Normal purchase</v>
      </c>
      <c r="M200" s="48">
        <f>Table1[[#This Row],[Profit]]/Table1[[#This Row],[Sales]]</f>
        <v>0.37999819568769355</v>
      </c>
    </row>
    <row r="201" spans="1:13" ht="18" x14ac:dyDescent="0.5">
      <c r="A201" s="5" t="s">
        <v>60</v>
      </c>
      <c r="B201" s="6" t="s">
        <v>36</v>
      </c>
      <c r="C201" s="6" t="s">
        <v>20</v>
      </c>
      <c r="D201" s="6" t="s">
        <v>15</v>
      </c>
      <c r="E201" s="31">
        <v>928.32</v>
      </c>
      <c r="F201" s="7">
        <v>2</v>
      </c>
      <c r="G201" s="7">
        <v>0.05</v>
      </c>
      <c r="H201" s="8">
        <v>45754</v>
      </c>
      <c r="I201" s="35">
        <v>440.95</v>
      </c>
      <c r="J201" s="16" t="str">
        <f t="shared" si="12"/>
        <v>Low Discount</v>
      </c>
      <c r="K201" s="42">
        <f t="shared" ca="1" si="13"/>
        <v>46081.614984027779</v>
      </c>
      <c r="L201" s="41" t="str">
        <f>IF(Table1[Sales]&gt;1000,"High purchase","Normal purchase")</f>
        <v>Normal purchase</v>
      </c>
      <c r="M201" s="48">
        <f>Table1[[#This Row],[Profit]]/Table1[[#This Row],[Sales]]</f>
        <v>0.4749978455704929</v>
      </c>
    </row>
  </sheetData>
  <mergeCells count="2">
    <mergeCell ref="O6:P6"/>
    <mergeCell ref="O9:P9"/>
  </mergeCells>
  <phoneticPr fontId="10" type="noConversion"/>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88B251-B189-4F23-B166-D1D96ABEC6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Scenario Summary</vt:lpstr>
      <vt:lpstr>REGRESSION</vt:lpstr>
      <vt:lpstr>Profit_Descriptive_Statistics</vt:lpstr>
      <vt:lpstr>CHARTS</vt:lpstr>
      <vt:lpstr>PIVOTTABLES</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 sinojia</dc:creator>
  <cp:lastModifiedBy>ArJun..!!! .</cp:lastModifiedBy>
  <dcterms:created xsi:type="dcterms:W3CDTF">2015-06-05T18:17:20Z</dcterms:created>
  <dcterms:modified xsi:type="dcterms:W3CDTF">2026-02-28T09:17:35Z</dcterms:modified>
</cp:coreProperties>
</file>