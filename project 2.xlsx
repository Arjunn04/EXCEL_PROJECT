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rjun sinojia\Desktop\Excel\"/>
    </mc:Choice>
  </mc:AlternateContent>
  <xr:revisionPtr revIDLastSave="0" documentId="13_ncr:1_{FAF425CC-95B4-4FD8-8AEF-8705201C0509}" xr6:coauthVersionLast="47" xr6:coauthVersionMax="47" xr10:uidLastSave="{00000000-0000-0000-0000-000000000000}"/>
  <bookViews>
    <workbookView xWindow="-108" yWindow="-108" windowWidth="23256" windowHeight="12456" tabRatio="710" activeTab="4" xr2:uid="{00000000-000D-0000-FFFF-FFFF00000000}"/>
  </bookViews>
  <sheets>
    <sheet name="Scenario Summary" sheetId="5" r:id="rId1"/>
    <sheet name="REGRESSION" sheetId="6" r:id="rId2"/>
    <sheet name="Profit_Descriptive_Statistics" sheetId="7" r:id="rId3"/>
    <sheet name="PIVOTTABLES" sheetId="4" r:id="rId4"/>
    <sheet name="CHARTS" sheetId="9" r:id="rId5"/>
    <sheet name="SALESDATA" sheetId="1" r:id="rId6"/>
  </sheets>
  <definedNames>
    <definedName name="_xlcn.WorksheetConnection_project2.xlsxTable1" hidden="1">Table1[]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project 2.xlsx!Table1"/>
        </x15:modelTables>
      </x15:dataModel>
    </ext>
  </extLst>
</workbook>
</file>

<file path=xl/calcChain.xml><?xml version="1.0" encoding="utf-8"?>
<calcChain xmlns="http://schemas.openxmlformats.org/spreadsheetml/2006/main">
  <c r="O10" i="1" l="1"/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K5" i="4"/>
  <c r="K6" i="4"/>
  <c r="K7" i="4"/>
  <c r="K8" i="4"/>
  <c r="K9" i="4"/>
  <c r="K10" i="4"/>
  <c r="K11" i="4"/>
  <c r="K12" i="4"/>
  <c r="K13" i="4"/>
  <c r="K14" i="4"/>
  <c r="K15" i="4"/>
  <c r="Q6" i="1"/>
  <c r="J197" i="1" l="1"/>
  <c r="D10" i="5"/>
  <c r="G10" i="5"/>
  <c r="F10" i="5"/>
  <c r="E10" i="5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8" i="1"/>
  <c r="J199" i="1"/>
  <c r="J200" i="1"/>
  <c r="J2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8DD22E-3BFD-4A05-B6FD-DB52549A1E5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3C137281-377D-4C43-9040-FF73BBEDB648}" name="WorksheetConnection_project 2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project2.xlsxTable1"/>
        </x15:connection>
      </ext>
    </extLst>
  </connection>
</connections>
</file>

<file path=xl/sharedStrings.xml><?xml version="1.0" encoding="utf-8"?>
<sst xmlns="http://schemas.openxmlformats.org/spreadsheetml/2006/main" count="965" uniqueCount="162">
  <si>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</si>
  <si>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</si>
  <si>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</si>
  <si>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</si>
  <si>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</si>
  <si>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</si>
  <si>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</si>
  <si>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</si>
  <si>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</si>
  <si>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</si>
  <si>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</si>
  <si>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</si>
  <si>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</si>
  <si>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</si>
  <si>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</si>
  <si>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</si>
  <si>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</si>
  <si>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</si>
  <si>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</si>
  <si>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</si>
  <si>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</si>
  <si>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</si>
  <si>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</si>
  <si>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</si>
  <si>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</si>
  <si>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</si>
  <si>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</si>
  <si>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</si>
  <si>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</si>
  <si>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</si>
  <si>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</si>
  <si>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</si>
  <si>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</si>
  <si>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</si>
  <si>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</si>
  <si>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</si>
  <si>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</si>
  <si>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</si>
  <si>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</si>
  <si>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</si>
  <si>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</si>
  <si>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</si>
  <si>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</si>
  <si>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</si>
  <si>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</si>
  <si>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</si>
  <si>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</si>
  <si>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</si>
  <si>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</si>
  <si>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</si>
  <si>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</si>
  <si>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</si>
  <si>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</si>
  <si>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</si>
  <si>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</si>
  <si>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</si>
  <si>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</si>
  <si>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</si>
  <si>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</si>
  <si>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</si>
  <si>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</si>
  <si>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</si>
  <si>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</si>
  <si>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</si>
  <si>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</si>
  <si>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</si>
  <si>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</si>
  <si>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</si>
  <si>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</si>
  <si>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</si>
  <si>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</si>
  <si>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</si>
  <si>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</si>
  <si>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</si>
  <si>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</si>
  <si>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</si>
  <si>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Row Labels</t>
  </si>
  <si>
    <t>Grand Total</t>
  </si>
  <si>
    <t>Sum of Sales</t>
  </si>
  <si>
    <t>D_Type</t>
  </si>
  <si>
    <t>Sum of Profit</t>
  </si>
  <si>
    <t>High Discount</t>
  </si>
  <si>
    <t>Low Discount</t>
  </si>
  <si>
    <t>Medium Discount</t>
  </si>
  <si>
    <t>No Discount</t>
  </si>
  <si>
    <t>Scenario Summary</t>
  </si>
  <si>
    <t>Changing Cells:</t>
  </si>
  <si>
    <t>Current Values:</t>
  </si>
  <si>
    <t>Notes:  Current Values column represents values of changing cells at</t>
  </si>
  <si>
    <t>time Scenario Summary Report was created.  Changing cells for each</t>
  </si>
  <si>
    <t>scenario are highlighted in gray.</t>
  </si>
  <si>
    <t>5% UP</t>
  </si>
  <si>
    <t>10% UP</t>
  </si>
  <si>
    <t>15% UP</t>
  </si>
  <si>
    <t>High discount</t>
  </si>
  <si>
    <t>Total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</si>
  <si>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</si>
  <si>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</si>
  <si>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</si>
  <si>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</si>
  <si>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</si>
  <si>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</si>
  <si>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</si>
  <si>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</si>
  <si>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</si>
  <si>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</si>
  <si>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</si>
  <si>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</si>
  <si>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</si>
  <si>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</si>
  <si>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</si>
  <si>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</si>
  <si>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</si>
  <si>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</si>
  <si>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</si>
  <si>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</si>
  <si>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</si>
  <si>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</si>
  <si>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</si>
  <si>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</si>
  <si>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</si>
  <si>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</si>
  <si>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</si>
  <si>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</si>
  <si>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</si>
  <si>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</si>
  <si>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</si>
  <si>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</si>
  <si>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</si>
  <si>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</si>
  <si>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</si>
  <si>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Profit Descriptive Statistics</t>
  </si>
  <si>
    <t>Top 10 Sellers 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</si>
  <si>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</si>
  <si>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</si>
  <si>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</si>
  <si>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</si>
  <si>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</si>
  <si>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</si>
  <si>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</si>
  <si>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</si>
  <si>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</si>
  <si>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</si>
  <si>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</si>
  <si>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</si>
  <si>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Monthly Sales Growth</t>
  </si>
  <si>
    <t>Column Labels</t>
  </si>
  <si>
    <t>Timestamp</t>
  </si>
  <si>
    <t>Trends</t>
  </si>
  <si>
    <t>High_Sales</t>
  </si>
  <si>
    <t>Highest Seales Customer  =&gt;&gt;</t>
  </si>
  <si>
    <t>Region Sales</t>
  </si>
  <si>
    <t>Product Sales</t>
  </si>
  <si>
    <t xml:space="preserve">Product Discount Vs Profit </t>
  </si>
  <si>
    <t>Sum of Quantity</t>
  </si>
  <si>
    <t>High Value Customer VS Revenue</t>
  </si>
  <si>
    <t>High purchase</t>
  </si>
  <si>
    <t>Normal purchase</t>
  </si>
  <si>
    <t>Profit Margin</t>
  </si>
  <si>
    <t>Average of Profit Margin</t>
  </si>
  <si>
    <t>Correlation Between Discount &amp; Profit</t>
  </si>
  <si>
    <t>Average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</si>
</sst>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rgb="FF0070C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14" fontId="0" fillId="0" borderId="1" xfId="0" applyNumberFormat="1" applyBorder="1" applyAlignment="1">
      <alignment horizontal="right" wrapText="1"/>
    </xf>
    <xf numFmtId="0" fontId="0" fillId="0" borderId="2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8" xfId="0" applyBorder="1" applyAlignment="1">
      <alignment horizontal="right" wrapText="1"/>
    </xf>
    <xf numFmtId="14" fontId="0" fillId="0" borderId="8" xfId="0" applyNumberFormat="1" applyBorder="1" applyAlignment="1">
      <alignment horizontal="righ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2" borderId="11" xfId="0" applyFont="1" applyFill="1" applyBorder="1" applyAlignment="1">
      <alignment horizontal="left"/>
    </xf>
    <xf numFmtId="0" fontId="2" fillId="2" borderId="10" xfId="0" applyFont="1" applyFill="1" applyBorder="1" applyAlignment="1">
      <alignment horizontal="left"/>
    </xf>
    <xf numFmtId="0" fontId="0" fillId="0" borderId="12" xfId="0" applyBorder="1"/>
    <xf numFmtId="0" fontId="3" fillId="3" borderId="0" xfId="0" applyFont="1" applyFill="1" applyAlignment="1">
      <alignment horizontal="left"/>
    </xf>
    <xf numFmtId="0" fontId="4" fillId="3" borderId="12" xfId="0" applyFont="1" applyFill="1" applyBorder="1" applyAlignment="1">
      <alignment horizontal="left"/>
    </xf>
    <xf numFmtId="0" fontId="5" fillId="2" borderId="10" xfId="0" applyFont="1" applyFill="1" applyBorder="1" applyAlignment="1">
      <alignment horizontal="right"/>
    </xf>
    <xf numFmtId="0" fontId="5" fillId="2" borderId="11" xfId="0" applyFont="1" applyFill="1" applyBorder="1" applyAlignment="1">
      <alignment horizontal="right"/>
    </xf>
    <xf numFmtId="0" fontId="4" fillId="3" borderId="13" xfId="0" applyFont="1" applyFill="1" applyBorder="1" applyAlignment="1">
      <alignment horizontal="left"/>
    </xf>
    <xf numFmtId="0" fontId="0" fillId="0" borderId="13" xfId="0" applyBorder="1"/>
    <xf numFmtId="0" fontId="0" fillId="4" borderId="0" xfId="0" applyFill="1"/>
    <xf numFmtId="0" fontId="6" fillId="0" borderId="0" xfId="0" applyFont="1" applyAlignment="1">
      <alignment vertical="top" wrapText="1"/>
    </xf>
    <xf numFmtId="2" fontId="1" fillId="0" borderId="5" xfId="0" applyNumberFormat="1" applyFont="1" applyBorder="1" applyAlignment="1">
      <alignment horizontal="left" wrapText="1"/>
    </xf>
    <xf numFmtId="2" fontId="0" fillId="0" borderId="1" xfId="0" applyNumberFormat="1" applyBorder="1" applyAlignment="1">
      <alignment horizontal="right" wrapText="1"/>
    </xf>
    <xf numFmtId="2" fontId="0" fillId="0" borderId="8" xfId="0" applyNumberFormat="1" applyBorder="1" applyAlignment="1">
      <alignment horizontal="right" wrapText="1"/>
    </xf>
    <xf numFmtId="2" fontId="0" fillId="0" borderId="0" xfId="0" applyNumberFormat="1"/>
    <xf numFmtId="2" fontId="1" fillId="0" borderId="6" xfId="0" applyNumberFormat="1" applyFont="1" applyBorder="1" applyAlignment="1">
      <alignment horizontal="left" wrapText="1"/>
    </xf>
    <xf numFmtId="2" fontId="0" fillId="0" borderId="3" xfId="0" applyNumberFormat="1" applyBorder="1" applyAlignment="1">
      <alignment horizontal="right" wrapText="1"/>
    </xf>
    <xf numFmtId="2" fontId="0" fillId="0" borderId="9" xfId="0" applyNumberFormat="1" applyBorder="1" applyAlignment="1">
      <alignment horizontal="right" wrapText="1"/>
    </xf>
    <xf numFmtId="0" fontId="0" fillId="0" borderId="14" xfId="0" applyBorder="1"/>
    <xf numFmtId="0" fontId="9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Continuous"/>
    </xf>
    <xf numFmtId="14" fontId="1" fillId="0" borderId="5" xfId="0" applyNumberFormat="1" applyFont="1" applyBorder="1" applyAlignment="1">
      <alignment horizontal="left" wrapText="1"/>
    </xf>
    <xf numFmtId="14" fontId="0" fillId="0" borderId="0" xfId="0" applyNumberFormat="1"/>
    <xf numFmtId="0" fontId="0" fillId="0" borderId="0" xfId="0" applyAlignment="1">
      <alignment horizontal="right" wrapText="1"/>
    </xf>
    <xf numFmtId="22" fontId="0" fillId="0" borderId="0" xfId="0" applyNumberFormat="1" applyAlignment="1">
      <alignment horizontal="right" wrapText="1"/>
    </xf>
    <xf numFmtId="9" fontId="0" fillId="0" borderId="0" xfId="0" applyNumberFormat="1"/>
    <xf numFmtId="10" fontId="0" fillId="0" borderId="0" xfId="0" applyNumberFormat="1"/>
    <xf numFmtId="0" fontId="8" fillId="5" borderId="0" xfId="0" applyFont="1" applyFill="1"/>
    <xf numFmtId="0" fontId="0" fillId="6" borderId="0" xfId="0" applyFill="1"/>
    <xf numFmtId="10" fontId="1" fillId="0" borderId="5" xfId="0" applyNumberFormat="1" applyFont="1" applyBorder="1" applyAlignment="1">
      <alignment horizontal="left" wrapText="1"/>
    </xf>
    <xf numFmtId="10" fontId="0" fillId="0" borderId="0" xfId="0" applyNumberFormat="1" applyAlignment="1">
      <alignment horizontal="right" wrapText="1"/>
    </xf>
    <xf numFmtId="0" fontId="1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</cellXfs>
  <cellStyles count="1">
    <cellStyle name="Normal" xfId="0" builtinId="0"/>
  </cellStyles>
  <dxfs count="18">
    <dxf>
      <numFmt numFmtId="14" formatCode="0.00%"/>
      <alignment horizontal="right" vertical="bottom" textRotation="0" wrapText="1" indent="0" justifyLastLine="0" shrinkToFit="0" readingOrder="0"/>
    </dxf>
    <dxf>
      <numFmt numFmtId="0" formatCode="General"/>
      <alignment horizontal="right" vertical="bottom" textRotation="0" wrapText="1" indent="0" justifyLastLine="0" shrinkToFit="0" readingOrder="0"/>
    </dxf>
    <dxf>
      <numFmt numFmtId="27" formatCode="dd/mm/yyyy\ hh:mm"/>
      <alignment horizontal="right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numFmt numFmtId="2" formatCode="0.00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numFmt numFmtId="19" formatCode="dd/mm/yyyy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2" formatCode="0.00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right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4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'Scenario Summary'!$B$4:$C$4</c:f>
              <c:strCache>
                <c:ptCount val="2"/>
                <c:pt idx="0">
                  <c:v>Scenario Summary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Summary'!$D$4:$G$4</c:f>
            </c:numRef>
          </c:val>
          <c:extLst>
            <c:ext xmlns:c16="http://schemas.microsoft.com/office/drawing/2014/chart" uri="{C3380CC4-5D6E-409C-BE32-E72D297353CC}">
              <c16:uniqueId val="{00000000-6028-4FAB-9C6A-89A2C09BB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79"/>
        <c:overlap val="-86"/>
        <c:axId val="2045965503"/>
        <c:axId val="2045963583"/>
      </c:barChart>
      <c:barChart>
        <c:barDir val="bar"/>
        <c:grouping val="clustered"/>
        <c:varyColors val="0"/>
        <c:ser>
          <c:idx val="1"/>
          <c:order val="1"/>
          <c:tx>
            <c:strRef>
              <c:f>'Scenario Summary'!$B$5:$C$5</c:f>
              <c:strCache>
                <c:ptCount val="2"/>
                <c:pt idx="0">
                  <c:v>Changing Cells: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Summary'!$D$5:$G$5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6028-4FAB-9C6A-89A2C09BB8CA}"/>
            </c:ext>
          </c:extLst>
        </c:ser>
        <c:ser>
          <c:idx val="2"/>
          <c:order val="2"/>
          <c:tx>
            <c:strRef>
              <c:f>'Scenario Summary'!$B$6:$C$6</c:f>
              <c:strCache>
                <c:ptCount val="2"/>
                <c:pt idx="0">
                  <c:v>Changing Cells:</c:v>
                </c:pt>
                <c:pt idx="1">
                  <c:v>High discount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Summary'!$D$6:$G$6</c:f>
              <c:numCache>
                <c:formatCode>General</c:formatCode>
                <c:ptCount val="4"/>
                <c:pt idx="0">
                  <c:v>13253.9</c:v>
                </c:pt>
                <c:pt idx="1">
                  <c:v>13916.594999999999</c:v>
                </c:pt>
                <c:pt idx="2">
                  <c:v>15241.985000000001</c:v>
                </c:pt>
                <c:pt idx="3">
                  <c:v>17230.07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8-4FAB-9C6A-89A2C09BB8CA}"/>
            </c:ext>
          </c:extLst>
        </c:ser>
        <c:ser>
          <c:idx val="3"/>
          <c:order val="3"/>
          <c:tx>
            <c:strRef>
              <c:f>'Scenario Summary'!$B$7:$C$7</c:f>
              <c:strCache>
                <c:ptCount val="2"/>
                <c:pt idx="0">
                  <c:v>Changing Cells:</c:v>
                </c:pt>
                <c:pt idx="1">
                  <c:v>Low Discount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Summary'!$D$7:$G$7</c:f>
              <c:numCache>
                <c:formatCode>General</c:formatCode>
                <c:ptCount val="4"/>
                <c:pt idx="0">
                  <c:v>29851.040000000001</c:v>
                </c:pt>
                <c:pt idx="1">
                  <c:v>31343.592000000001</c:v>
                </c:pt>
                <c:pt idx="2">
                  <c:v>34328.696000000004</c:v>
                </c:pt>
                <c:pt idx="3">
                  <c:v>38806.351999999999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8-4FAB-9C6A-89A2C09BB8CA}"/>
            </c:ext>
          </c:extLst>
        </c:ser>
        <c:ser>
          <c:idx val="4"/>
          <c:order val="4"/>
          <c:tx>
            <c:strRef>
              <c:f>'Scenario Summary'!$B$8:$C$8</c:f>
              <c:strCache>
                <c:ptCount val="2"/>
                <c:pt idx="0">
                  <c:v>Changing Cells:</c:v>
                </c:pt>
                <c:pt idx="1">
                  <c:v>Medium Discount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Summary'!$D$8:$G$8</c:f>
              <c:numCache>
                <c:formatCode>General</c:formatCode>
                <c:ptCount val="4"/>
                <c:pt idx="0">
                  <c:v>9571.4</c:v>
                </c:pt>
                <c:pt idx="1">
                  <c:v>10049.969999999999</c:v>
                </c:pt>
                <c:pt idx="2">
                  <c:v>11007.11</c:v>
                </c:pt>
                <c:pt idx="3">
                  <c:v>12442.82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28-4FAB-9C6A-89A2C09BB8CA}"/>
            </c:ext>
          </c:extLst>
        </c:ser>
        <c:ser>
          <c:idx val="5"/>
          <c:order val="5"/>
          <c:tx>
            <c:strRef>
              <c:f>'Scenario Summary'!$B$9:$C$9</c:f>
              <c:strCache>
                <c:ptCount val="2"/>
                <c:pt idx="0">
                  <c:v>Changing Cells:</c:v>
                </c:pt>
                <c:pt idx="1">
                  <c:v>No Discount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Summary'!$D$9:$G$9</c:f>
              <c:numCache>
                <c:formatCode>General</c:formatCode>
                <c:ptCount val="4"/>
                <c:pt idx="0">
                  <c:v>15610.67</c:v>
                </c:pt>
                <c:pt idx="1">
                  <c:v>16391.2035</c:v>
                </c:pt>
                <c:pt idx="2">
                  <c:v>17952.270499999999</c:v>
                </c:pt>
                <c:pt idx="3">
                  <c:v>20293.870999999999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28-4FAB-9C6A-89A2C09BB8CA}"/>
            </c:ext>
          </c:extLst>
        </c:ser>
        <c:ser>
          <c:idx val="6"/>
          <c:order val="6"/>
          <c:tx>
            <c:strRef>
              <c:f>'Scenario Summary'!$B$10:$C$10</c:f>
              <c:strCache>
                <c:ptCount val="2"/>
                <c:pt idx="0">
                  <c:v>Changing Cells:</c:v>
                </c:pt>
                <c:pt idx="1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Summary'!$D$2:$G$3</c:f>
              <c:strCache>
                <c:ptCount val="4"/>
                <c:pt idx="0">
                  <c:v>Current Values:</c:v>
                </c:pt>
                <c:pt idx="1">
                  <c:v>5% UP</c:v>
                </c:pt>
                <c:pt idx="2">
                  <c:v>10% UP</c:v>
                </c:pt>
                <c:pt idx="3">
                  <c:v>15% UP</c:v>
                </c:pt>
              </c:strCache>
            </c:strRef>
          </c:cat>
          <c:val>
            <c:numRef>
              <c:f>'Scenario Summary'!$D$10:$G$10</c:f>
              <c:numCache>
                <c:formatCode>General</c:formatCode>
                <c:ptCount val="4"/>
                <c:pt idx="0">
                  <c:v>68287.010000000009</c:v>
                </c:pt>
                <c:pt idx="1">
                  <c:v>71701.360499999995</c:v>
                </c:pt>
                <c:pt idx="2">
                  <c:v>78530.061500000011</c:v>
                </c:pt>
                <c:pt idx="3">
                  <c:v>88773.112999999998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28-4FAB-9C6A-89A2C09BB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overlap val="-60"/>
        <c:axId val="2045965503"/>
        <c:axId val="2045963583"/>
      </c:barChart>
      <c:catAx>
        <c:axId val="20459655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5963583"/>
        <c:crosses val="autoZero"/>
        <c:auto val="1"/>
        <c:lblAlgn val="ctr"/>
        <c:lblOffset val="100"/>
        <c:noMultiLvlLbl val="0"/>
      </c:catAx>
      <c:valAx>
        <c:axId val="204596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5965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2.xlsx]PIVOTTABLES!PivotTable1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Sales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l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1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PIVOTTABLES!$I$3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PIVOTTABLES!$I$4:$I$16</c:f>
              <c:numCache>
                <c:formatCode>General</c:formatCode>
                <c:ptCount val="12"/>
                <c:pt idx="0">
                  <c:v>14914.650000000001</c:v>
                </c:pt>
                <c:pt idx="1">
                  <c:v>14006.359999999999</c:v>
                </c:pt>
                <c:pt idx="2">
                  <c:v>17655.219999999998</c:v>
                </c:pt>
                <c:pt idx="3">
                  <c:v>22242.129999999997</c:v>
                </c:pt>
                <c:pt idx="4">
                  <c:v>18507.339999999997</c:v>
                </c:pt>
                <c:pt idx="5">
                  <c:v>20187.509999999998</c:v>
                </c:pt>
                <c:pt idx="6">
                  <c:v>11609.039999999999</c:v>
                </c:pt>
                <c:pt idx="7">
                  <c:v>10091.699999999999</c:v>
                </c:pt>
                <c:pt idx="8">
                  <c:v>20533.499999999996</c:v>
                </c:pt>
                <c:pt idx="9">
                  <c:v>14215.240000000002</c:v>
                </c:pt>
                <c:pt idx="10">
                  <c:v>20135.030000000002</c:v>
                </c:pt>
                <c:pt idx="11">
                  <c:v>11120.04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72-46E4-9CB0-B20B69207D9E}"/>
            </c:ext>
          </c:extLst>
        </c:ser>
        <c:ser>
          <c:idx val="1"/>
          <c:order val="1"/>
          <c:tx>
            <c:strRef>
              <c:f>PIVOTTABLES!$J$3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PIVOTTABLES!$J$4:$J$16</c:f>
              <c:numCache>
                <c:formatCode>General</c:formatCode>
                <c:ptCount val="12"/>
                <c:pt idx="0">
                  <c:v>5763.4</c:v>
                </c:pt>
                <c:pt idx="1">
                  <c:v>5039.2299999999996</c:v>
                </c:pt>
                <c:pt idx="2">
                  <c:v>7071.39</c:v>
                </c:pt>
                <c:pt idx="3">
                  <c:v>7642.86</c:v>
                </c:pt>
                <c:pt idx="4">
                  <c:v>6121.3499999999995</c:v>
                </c:pt>
                <c:pt idx="5">
                  <c:v>6918</c:v>
                </c:pt>
                <c:pt idx="6">
                  <c:v>3743.85</c:v>
                </c:pt>
                <c:pt idx="7">
                  <c:v>3302.84</c:v>
                </c:pt>
                <c:pt idx="8">
                  <c:v>7457.5199999999995</c:v>
                </c:pt>
                <c:pt idx="9">
                  <c:v>4861.7</c:v>
                </c:pt>
                <c:pt idx="10">
                  <c:v>6814.8799999999992</c:v>
                </c:pt>
                <c:pt idx="11">
                  <c:v>3549.99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1-6072-46E4-9CB0-B20B69207D9E}"/>
            </c:ext>
          </c:extLst>
        </c:ser>
        <c:dLbls>
          <c:dLblPos val="l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2506463"/>
        <c:axId val="932509823"/>
      </c:lineChart>
      <c:catAx>
        <c:axId val="93250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509823"/>
        <c:crosses val="autoZero"/>
        <c:auto val="1"/>
        <c:lblAlgn val="ctr"/>
        <c:lblOffset val="100"/>
        <c:noMultiLvlLbl val="0"/>
      </c:catAx>
      <c:valAx>
        <c:axId val="93250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50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2.xlsx]PIVOTTABLES!PivotTable3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Total Sales Vs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PIVOTTABLES!$B$18</c:f>
              <c:strCache>
                <c:ptCount val="1"/>
                <c:pt idx="0">
                  <c:v>Sum of 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PIVOTTABLES!$A$19:$A$24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PIVOTTABLES!$B$19:$B$24</c:f>
              <c:numCache>
                <c:formatCode>General</c:formatCode>
                <c:ptCount val="5"/>
                <c:pt idx="0">
                  <c:v>43468.33</c:v>
                </c:pt>
                <c:pt idx="1">
                  <c:v>32441.64</c:v>
                </c:pt>
                <c:pt idx="2">
                  <c:v>34975.42</c:v>
                </c:pt>
                <c:pt idx="3">
                  <c:v>40248.79</c:v>
                </c:pt>
                <c:pt idx="4">
                  <c:v>44083.58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4A-4FBC-A78A-64F53163B8CC}"/>
            </c:ext>
          </c:extLst>
        </c:ser>
        <c:ser>
          <c:idx val="1"/>
          <c:order val="1"/>
          <c:tx>
            <c:strRef>
              <c:f>PIVOTTABLES!$C$18</c:f>
              <c:strCache>
                <c:ptCount val="1"/>
                <c:pt idx="0">
                  <c:v>Sum of Profit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PIVOTTABLES!$A$19:$A$24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PIVOTTABLES!$C$19:$C$24</c:f>
              <c:numCache>
                <c:formatCode>General</c:formatCode>
                <c:ptCount val="5"/>
                <c:pt idx="0">
                  <c:v>16068.4</c:v>
                </c:pt>
                <c:pt idx="1">
                  <c:v>11638.59</c:v>
                </c:pt>
                <c:pt idx="2">
                  <c:v>11902.28</c:v>
                </c:pt>
                <c:pt idx="3">
                  <c:v>13691.91</c:v>
                </c:pt>
                <c:pt idx="4">
                  <c:v>14985.83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E-4E94-AC11-D51FA6BD72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98064927"/>
        <c:axId val="1198061087"/>
      </c:barChart>
      <c:catAx>
        <c:axId val="1198064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061087"/>
        <c:crosses val="autoZero"/>
        <c:auto val="1"/>
        <c:lblAlgn val="ctr"/>
        <c:lblOffset val="100"/>
        <c:noMultiLvlLbl val="0"/>
      </c:catAx>
      <c:valAx>
        <c:axId val="119806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06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2.xlsx]PIVOTTABLES!PivotTable4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Total Sales Vs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2.9505981582691559E-2"/>
              <c:y val="-4.100420922736777E-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0" tIns="19050" rIns="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PIVOTTABLES!$H$40</c:f>
              <c:strCache>
                <c:ptCount val="1"/>
                <c:pt idx="0">
                  <c:v>Sum of 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PIVOTTABLES!$G$41:$G$46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PIVOTTABLES!$H$41:$H$46</c:f>
              <c:numCache>
                <c:formatCode>General</c:formatCode>
                <c:ptCount val="5"/>
                <c:pt idx="0">
                  <c:v>47002.46</c:v>
                </c:pt>
                <c:pt idx="1">
                  <c:v>41927.589999999997</c:v>
                </c:pt>
                <c:pt idx="2">
                  <c:v>41044</c:v>
                </c:pt>
                <c:pt idx="3">
                  <c:v>36612.89</c:v>
                </c:pt>
                <c:pt idx="4">
                  <c:v>28630.82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BA-4A65-92F6-BE896AD8247A}"/>
            </c:ext>
          </c:extLst>
        </c:ser>
        <c:ser>
          <c:idx val="1"/>
          <c:order val="1"/>
          <c:tx>
            <c:strRef>
              <c:f>PIVOTTABLES!$I$40</c:f>
              <c:strCache>
                <c:ptCount val="1"/>
                <c:pt idx="0">
                  <c:v>Sum of Profit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9565-4653-87DE-2991F8E36F45}"/>
              </c:ext>
            </c:extLst>
          </c:dPt>
          <c:dLbls>
            <c:dLbl>
              <c:idx val="4"/>
              <c:layout>
                <c:manualLayout>
                  <c:x val="2.9505981582691559E-2"/>
                  <c:y val="-4.100420922736777E-2"/>
                </c:manualLayout>
              </c:layout>
              <c:spPr>
                <a:solidFill>
                  <a:sysClr val="window" lastClr="FFFFFF"/>
                </a:solidFill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0" tIns="19050" rIns="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9565-4653-87DE-2991F8E36F45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PIVOTTABLES!$G$41:$G$46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PIVOTTABLES!$I$41:$I$46</c:f>
              <c:numCache>
                <c:formatCode>General</c:formatCode>
                <c:ptCount val="5"/>
                <c:pt idx="0">
                  <c:v>16901.63</c:v>
                </c:pt>
                <c:pt idx="1">
                  <c:v>18784.490000000002</c:v>
                </c:pt>
                <c:pt idx="2">
                  <c:v>9182.15</c:v>
                </c:pt>
                <c:pt idx="3">
                  <c:v>11579.14</c:v>
                </c:pt>
                <c:pt idx="4">
                  <c:v>11839.6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5-4653-87DE-2991F8E36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4"/>
        <c:overlap val="-38"/>
        <c:axId val="1197943007"/>
        <c:axId val="1197956927"/>
      </c:barChart>
      <c:catAx>
        <c:axId val="119794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956927"/>
        <c:crosses val="autoZero"/>
        <c:auto val="1"/>
        <c:lblAlgn val="ctr"/>
        <c:lblOffset val="100"/>
        <c:noMultiLvlLbl val="0"/>
      </c:catAx>
      <c:valAx>
        <c:axId val="119795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94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2.xlsx]PIVOTTABLES!PivotTable6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Product Discount Vs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PIVOTTABLES!$F$20:$F$21</c:f>
              <c:strCache>
                <c:ptCount val="1"/>
                <c:pt idx="0">
                  <c:v>Books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PIVOTTABLES!$E$22:$E$27</c:f>
              <c:strCache>
                <c:ptCount val="5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</c:strCache>
            </c:strRef>
          </c:cat>
          <c:val>
            <c:numRef>
              <c:f>PIVOTTABLES!$F$22:$F$27</c:f>
              <c:numCache>
                <c:formatCode>General</c:formatCode>
                <c:ptCount val="5"/>
                <c:pt idx="0">
                  <c:v>2543.16</c:v>
                </c:pt>
                <c:pt idx="1">
                  <c:v>4765.8500000000004</c:v>
                </c:pt>
                <c:pt idx="2">
                  <c:v>4024.9</c:v>
                </c:pt>
                <c:pt idx="3">
                  <c:v>2592.27</c:v>
                </c:pt>
                <c:pt idx="4">
                  <c:v>2975.45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3-4573-A114-9FB21FFCF93C}"/>
            </c:ext>
          </c:extLst>
        </c:ser>
        <c:ser>
          <c:idx val="1"/>
          <c:order val="1"/>
          <c:tx>
            <c:strRef>
              <c:f>PIVOTTABLES!$G$20:$G$21</c:f>
              <c:strCache>
                <c:ptCount val="1"/>
                <c:pt idx="0">
                  <c:v>Clothing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PIVOTTABLES!$E$22:$E$27</c:f>
              <c:strCache>
                <c:ptCount val="5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</c:strCache>
            </c:strRef>
          </c:cat>
          <c:val>
            <c:numRef>
              <c:f>PIVOTTABLES!$G$22:$G$27</c:f>
              <c:numCache>
                <c:formatCode>General</c:formatCode>
                <c:ptCount val="5"/>
                <c:pt idx="0">
                  <c:v>4081.28</c:v>
                </c:pt>
                <c:pt idx="1">
                  <c:v>3358.89</c:v>
                </c:pt>
                <c:pt idx="2">
                  <c:v>5140.9399999999996</c:v>
                </c:pt>
                <c:pt idx="3">
                  <c:v>1625.86</c:v>
                </c:pt>
                <c:pt idx="4">
                  <c:v>4577.5200000000004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E2-42B3-4573-A114-9FB21FFCF93C}"/>
            </c:ext>
          </c:extLst>
        </c:ser>
        <c:ser>
          <c:idx val="2"/>
          <c:order val="2"/>
          <c:tx>
            <c:strRef>
              <c:f>PIVOTTABLES!$H$20:$H$21</c:f>
              <c:strCache>
                <c:ptCount val="1"/>
                <c:pt idx="0">
                  <c:v>Electronics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PIVOTTABLES!$E$22:$E$27</c:f>
              <c:strCache>
                <c:ptCount val="5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</c:strCache>
            </c:strRef>
          </c:cat>
          <c:val>
            <c:numRef>
              <c:f>PIVOTTABLES!$H$22:$H$27</c:f>
              <c:numCache>
                <c:formatCode>General</c:formatCode>
                <c:ptCount val="5"/>
                <c:pt idx="0">
                  <c:v>2895.07</c:v>
                </c:pt>
                <c:pt idx="1">
                  <c:v>1325.19</c:v>
                </c:pt>
                <c:pt idx="2">
                  <c:v>896.44</c:v>
                </c:pt>
                <c:pt idx="3">
                  <c:v>1453.03</c:v>
                </c:pt>
                <c:pt idx="4">
                  <c:v>2612.42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E3-42B3-4573-A114-9FB21FFCF93C}"/>
            </c:ext>
          </c:extLst>
        </c:ser>
        <c:ser>
          <c:idx val="3"/>
          <c:order val="3"/>
          <c:tx>
            <c:strRef>
              <c:f>PIVOTTABLES!$I$20:$I$21</c:f>
              <c:strCache>
                <c:ptCount val="1"/>
                <c:pt idx="0">
                  <c:v>Furniture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PIVOTTABLES!$E$22:$E$27</c:f>
              <c:strCache>
                <c:ptCount val="5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</c:strCache>
            </c:strRef>
          </c:cat>
          <c:val>
            <c:numRef>
              <c:f>PIVOTTABLES!$I$22:$I$27</c:f>
              <c:numCache>
                <c:formatCode>General</c:formatCode>
                <c:ptCount val="5"/>
                <c:pt idx="0">
                  <c:v>2687.34</c:v>
                </c:pt>
                <c:pt idx="1">
                  <c:v>2601.87</c:v>
                </c:pt>
                <c:pt idx="2">
                  <c:v>2120.09</c:v>
                </c:pt>
                <c:pt idx="3">
                  <c:v>2442.3200000000002</c:v>
                </c:pt>
                <c:pt idx="4">
                  <c:v>1727.52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E4-42B3-4573-A114-9FB21FFCF93C}"/>
            </c:ext>
          </c:extLst>
        </c:ser>
        <c:ser>
          <c:idx val="4"/>
          <c:order val="4"/>
          <c:tx>
            <c:strRef>
              <c:f>PIVOTTABLES!$J$20:$J$21</c:f>
              <c:strCache>
                <c:ptCount val="1"/>
                <c:pt idx="0">
                  <c:v>Office Supplies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PIVOTTABLES!$E$22:$E$27</c:f>
              <c:strCache>
                <c:ptCount val="5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</c:strCache>
            </c:strRef>
          </c:cat>
          <c:val>
            <c:numRef>
              <c:f>PIVOTTABLES!$J$22:$J$27</c:f>
              <c:numCache>
                <c:formatCode>General</c:formatCode>
                <c:ptCount val="5"/>
                <c:pt idx="0">
                  <c:v>3403.82</c:v>
                </c:pt>
                <c:pt idx="1">
                  <c:v>3032.93</c:v>
                </c:pt>
                <c:pt idx="2">
                  <c:v>2583.94</c:v>
                </c:pt>
                <c:pt idx="3">
                  <c:v>1457.92</c:v>
                </c:pt>
                <c:pt idx="4">
                  <c:v>1360.99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E5-42B3-4573-A114-9FB21FFCF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38"/>
        <c:overlap val="-100"/>
        <c:axId val="1197958847"/>
        <c:axId val="1197959327"/>
      </c:barChart>
      <c:catAx>
        <c:axId val="11979588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959327"/>
        <c:crosses val="autoZero"/>
        <c:auto val="1"/>
        <c:lblAlgn val="ctr"/>
        <c:lblOffset val="100"/>
        <c:noMultiLvlLbl val="0"/>
      </c:catAx>
      <c:valAx>
        <c:axId val="119795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958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2.xlsx]PIVOTTABLES!PivotTable13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Purchase</a:t>
            </a:r>
            <a:r>
              <a:rPr lang="en-US" baseline="0"/>
              <a:t> Ratio Vs Avg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PIVOTTABLES!$B$29</c:f>
              <c:strCache>
                <c:ptCount val="1"/>
                <c:pt idx="0">
                  <c:v>Average of Profit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2EA-4CDE-96B8-784D32853F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2EA-4CDE-96B8-784D32853F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PIVOTTABLES!$A$30:$A$32</c:f>
              <c:strCache>
                <c:ptCount val="2"/>
                <c:pt idx="0">
                  <c:v>High purchase</c:v>
                </c:pt>
                <c:pt idx="1">
                  <c:v>Normal purchase</c:v>
                </c:pt>
              </c:strCache>
            </c:strRef>
          </c:cat>
          <c:val>
            <c:numRef>
              <c:f>PIVOTTABLES!$B$30:$B$32</c:f>
              <c:numCache>
                <c:formatCode>0.00</c:formatCode>
                <c:ptCount val="2"/>
                <c:pt idx="0">
                  <c:v>427.36468085106367</c:v>
                </c:pt>
                <c:pt idx="1">
                  <c:v>265.2333018867925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EA-4CDE-96B8-784D32853FE6}"/>
            </c:ext>
          </c:extLst>
        </c:ser>
        <c:ser>
          <c:idx val="1"/>
          <c:order val="1"/>
          <c:tx>
            <c:strRef>
              <c:f>PIVOTTABLES!$C$29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D2EA-4CDE-96B8-784D32853F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D2EA-4CDE-96B8-784D32853F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PIVOTTABLES!$A$30:$A$32</c:f>
              <c:strCache>
                <c:ptCount val="2"/>
                <c:pt idx="0">
                  <c:v>High purchase</c:v>
                </c:pt>
                <c:pt idx="1">
                  <c:v>Normal purchase</c:v>
                </c:pt>
              </c:strCache>
            </c:strRef>
          </c:cat>
          <c:val>
            <c:numRef>
              <c:f>PIVOTTABLES!$C$30:$C$32</c:f>
              <c:numCache>
                <c:formatCode>0.00</c:formatCode>
                <c:ptCount val="2"/>
                <c:pt idx="0">
                  <c:v>115601.26999999999</c:v>
                </c:pt>
                <c:pt idx="1">
                  <c:v>79616.490000000034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EA-4CDE-96B8-784D32853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2.xlsx]PIVOTTABLES!PivotTable9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Product Profit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PIVOTTABLES!$B$38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PIVOTTABLES!$A$39:$A$44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PIVOTTABLES!$B$39:$B$44</c:f>
              <c:numCache>
                <c:formatCode>0.00%</c:formatCode>
                <c:ptCount val="5"/>
                <c:pt idx="0">
                  <c:v>0.3583677046632085</c:v>
                </c:pt>
                <c:pt idx="1">
                  <c:v>0.4506095175242199</c:v>
                </c:pt>
                <c:pt idx="2">
                  <c:v>0.22500102196023627</c:v>
                </c:pt>
                <c:pt idx="3">
                  <c:v>0.31597260094800306</c:v>
                </c:pt>
                <c:pt idx="4">
                  <c:v>0.41370968481086762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4-42BD-9BC1-B344561FEF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41757295"/>
        <c:axId val="1176514479"/>
      </c:barChart>
      <c:catAx>
        <c:axId val="104175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514479"/>
        <c:crosses val="autoZero"/>
        <c:auto val="1"/>
        <c:lblAlgn val="ctr"/>
        <c:lblOffset val="100"/>
        <c:noMultiLvlLbl val="0"/>
      </c:catAx>
      <c:valAx>
        <c:axId val="117651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75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Correlation Between Sales &amp;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SALESDATA!$I$1</c:f>
              <c:strCache>
                <c:ptCount val="1"/>
                <c:pt idx="0">
                  <c:v>Profit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SALESDATA!$E$2:$E$201</c:f>
              <c:numCache>
                <c:formatCode>0.00</c:formatCode>
                <c:ptCount val="200"/>
                <c:pt idx="0">
                  <c:v>1036.0899999999999</c:v>
                </c:pt>
                <c:pt idx="1">
                  <c:v>1101.28</c:v>
                </c:pt>
                <c:pt idx="2">
                  <c:v>713.34</c:v>
                </c:pt>
                <c:pt idx="3">
                  <c:v>760.93</c:v>
                </c:pt>
                <c:pt idx="4">
                  <c:v>847</c:v>
                </c:pt>
                <c:pt idx="5">
                  <c:v>965.64</c:v>
                </c:pt>
                <c:pt idx="6">
                  <c:v>1317.53</c:v>
                </c:pt>
                <c:pt idx="7">
                  <c:v>1074.47</c:v>
                </c:pt>
                <c:pt idx="8">
                  <c:v>501.54</c:v>
                </c:pt>
                <c:pt idx="9">
                  <c:v>737.31</c:v>
                </c:pt>
                <c:pt idx="10">
                  <c:v>1572.82</c:v>
                </c:pt>
                <c:pt idx="11">
                  <c:v>1343.13</c:v>
                </c:pt>
                <c:pt idx="12">
                  <c:v>1191.58</c:v>
                </c:pt>
                <c:pt idx="13">
                  <c:v>822.28</c:v>
                </c:pt>
                <c:pt idx="14">
                  <c:v>521.66999999999996</c:v>
                </c:pt>
                <c:pt idx="15">
                  <c:v>1502.93</c:v>
                </c:pt>
                <c:pt idx="16">
                  <c:v>877.58</c:v>
                </c:pt>
                <c:pt idx="17">
                  <c:v>636.70000000000005</c:v>
                </c:pt>
                <c:pt idx="18">
                  <c:v>1506.14</c:v>
                </c:pt>
                <c:pt idx="19">
                  <c:v>645.02</c:v>
                </c:pt>
                <c:pt idx="20">
                  <c:v>953.3</c:v>
                </c:pt>
                <c:pt idx="21">
                  <c:v>388.56</c:v>
                </c:pt>
                <c:pt idx="22">
                  <c:v>743.17</c:v>
                </c:pt>
                <c:pt idx="23">
                  <c:v>706.37</c:v>
                </c:pt>
                <c:pt idx="24">
                  <c:v>925.31</c:v>
                </c:pt>
                <c:pt idx="25">
                  <c:v>1173.1199999999999</c:v>
                </c:pt>
                <c:pt idx="26">
                  <c:v>675.54</c:v>
                </c:pt>
                <c:pt idx="27">
                  <c:v>939.09</c:v>
                </c:pt>
                <c:pt idx="28">
                  <c:v>983.34</c:v>
                </c:pt>
                <c:pt idx="29">
                  <c:v>801.21</c:v>
                </c:pt>
                <c:pt idx="30">
                  <c:v>1450.71</c:v>
                </c:pt>
                <c:pt idx="31">
                  <c:v>1023.21</c:v>
                </c:pt>
                <c:pt idx="32">
                  <c:v>853.72</c:v>
                </c:pt>
                <c:pt idx="33">
                  <c:v>967.89</c:v>
                </c:pt>
                <c:pt idx="34">
                  <c:v>1200.9000000000001</c:v>
                </c:pt>
                <c:pt idx="35">
                  <c:v>472.38</c:v>
                </c:pt>
                <c:pt idx="36">
                  <c:v>840.92</c:v>
                </c:pt>
                <c:pt idx="37">
                  <c:v>1410.06</c:v>
                </c:pt>
                <c:pt idx="38">
                  <c:v>773.09</c:v>
                </c:pt>
                <c:pt idx="39">
                  <c:v>580.42999999999995</c:v>
                </c:pt>
                <c:pt idx="40">
                  <c:v>1151.21</c:v>
                </c:pt>
                <c:pt idx="41">
                  <c:v>1025.98</c:v>
                </c:pt>
                <c:pt idx="42">
                  <c:v>556.41999999999996</c:v>
                </c:pt>
                <c:pt idx="43">
                  <c:v>840.85</c:v>
                </c:pt>
                <c:pt idx="44">
                  <c:v>1227.25</c:v>
                </c:pt>
                <c:pt idx="45">
                  <c:v>856.7</c:v>
                </c:pt>
                <c:pt idx="46">
                  <c:v>1225.42</c:v>
                </c:pt>
                <c:pt idx="47">
                  <c:v>1001.57</c:v>
                </c:pt>
                <c:pt idx="48">
                  <c:v>1186.8499999999999</c:v>
                </c:pt>
                <c:pt idx="49">
                  <c:v>775.45</c:v>
                </c:pt>
                <c:pt idx="50">
                  <c:v>1021.47</c:v>
                </c:pt>
                <c:pt idx="51">
                  <c:v>1226.6199999999999</c:v>
                </c:pt>
                <c:pt idx="52">
                  <c:v>1086.93</c:v>
                </c:pt>
                <c:pt idx="53">
                  <c:v>942.9</c:v>
                </c:pt>
                <c:pt idx="54">
                  <c:v>818.8</c:v>
                </c:pt>
                <c:pt idx="55">
                  <c:v>919.04</c:v>
                </c:pt>
                <c:pt idx="56">
                  <c:v>973.26</c:v>
                </c:pt>
                <c:pt idx="57">
                  <c:v>741.61</c:v>
                </c:pt>
                <c:pt idx="58">
                  <c:v>1248.82</c:v>
                </c:pt>
                <c:pt idx="59">
                  <c:v>1360.36</c:v>
                </c:pt>
                <c:pt idx="60">
                  <c:v>1383.3</c:v>
                </c:pt>
                <c:pt idx="61">
                  <c:v>488.99</c:v>
                </c:pt>
                <c:pt idx="62">
                  <c:v>933.71</c:v>
                </c:pt>
                <c:pt idx="63">
                  <c:v>1005.53</c:v>
                </c:pt>
                <c:pt idx="64">
                  <c:v>1100.0999999999999</c:v>
                </c:pt>
                <c:pt idx="65">
                  <c:v>1034.7</c:v>
                </c:pt>
                <c:pt idx="66">
                  <c:v>876.44</c:v>
                </c:pt>
                <c:pt idx="67">
                  <c:v>1371.34</c:v>
                </c:pt>
                <c:pt idx="68">
                  <c:v>1020.26</c:v>
                </c:pt>
                <c:pt idx="69">
                  <c:v>804.81</c:v>
                </c:pt>
                <c:pt idx="70">
                  <c:v>608.66</c:v>
                </c:pt>
                <c:pt idx="71">
                  <c:v>981.2</c:v>
                </c:pt>
                <c:pt idx="72">
                  <c:v>539.77</c:v>
                </c:pt>
                <c:pt idx="73">
                  <c:v>804.45</c:v>
                </c:pt>
                <c:pt idx="74">
                  <c:v>1526.6</c:v>
                </c:pt>
                <c:pt idx="75">
                  <c:v>1215.26</c:v>
                </c:pt>
                <c:pt idx="76">
                  <c:v>1261.3399999999999</c:v>
                </c:pt>
                <c:pt idx="77">
                  <c:v>518.07000000000005</c:v>
                </c:pt>
                <c:pt idx="78">
                  <c:v>1111.3399999999999</c:v>
                </c:pt>
                <c:pt idx="79">
                  <c:v>1291.47</c:v>
                </c:pt>
                <c:pt idx="80">
                  <c:v>679.71</c:v>
                </c:pt>
                <c:pt idx="81">
                  <c:v>1143.69</c:v>
                </c:pt>
                <c:pt idx="82">
                  <c:v>790.08</c:v>
                </c:pt>
                <c:pt idx="83">
                  <c:v>1070.68</c:v>
                </c:pt>
                <c:pt idx="84">
                  <c:v>1168.8900000000001</c:v>
                </c:pt>
                <c:pt idx="85">
                  <c:v>1335.87</c:v>
                </c:pt>
                <c:pt idx="86">
                  <c:v>873.7</c:v>
                </c:pt>
                <c:pt idx="87">
                  <c:v>1443.98</c:v>
                </c:pt>
                <c:pt idx="88">
                  <c:v>1154.33</c:v>
                </c:pt>
                <c:pt idx="89">
                  <c:v>1264.49</c:v>
                </c:pt>
                <c:pt idx="90">
                  <c:v>1101.55</c:v>
                </c:pt>
                <c:pt idx="91">
                  <c:v>727.73</c:v>
                </c:pt>
                <c:pt idx="92">
                  <c:v>875.41</c:v>
                </c:pt>
                <c:pt idx="93">
                  <c:v>1158.94</c:v>
                </c:pt>
                <c:pt idx="94">
                  <c:v>966.3</c:v>
                </c:pt>
                <c:pt idx="95">
                  <c:v>917.48</c:v>
                </c:pt>
                <c:pt idx="96">
                  <c:v>1172.97</c:v>
                </c:pt>
                <c:pt idx="97">
                  <c:v>1205.82</c:v>
                </c:pt>
                <c:pt idx="98">
                  <c:v>826.93</c:v>
                </c:pt>
                <c:pt idx="99">
                  <c:v>902.19</c:v>
                </c:pt>
                <c:pt idx="100">
                  <c:v>585.97</c:v>
                </c:pt>
                <c:pt idx="101">
                  <c:v>990.19</c:v>
                </c:pt>
                <c:pt idx="102">
                  <c:v>1014.09</c:v>
                </c:pt>
                <c:pt idx="103">
                  <c:v>925.29</c:v>
                </c:pt>
                <c:pt idx="104">
                  <c:v>1286.54</c:v>
                </c:pt>
                <c:pt idx="105">
                  <c:v>961.62</c:v>
                </c:pt>
                <c:pt idx="106">
                  <c:v>1081.1400000000001</c:v>
                </c:pt>
                <c:pt idx="107">
                  <c:v>1923.66</c:v>
                </c:pt>
                <c:pt idx="108">
                  <c:v>728.71</c:v>
                </c:pt>
                <c:pt idx="109">
                  <c:v>1301.8900000000001</c:v>
                </c:pt>
                <c:pt idx="110">
                  <c:v>980.18</c:v>
                </c:pt>
                <c:pt idx="111">
                  <c:v>697.57</c:v>
                </c:pt>
                <c:pt idx="112">
                  <c:v>1193.6099999999999</c:v>
                </c:pt>
                <c:pt idx="113">
                  <c:v>771.02</c:v>
                </c:pt>
                <c:pt idx="114">
                  <c:v>661.09</c:v>
                </c:pt>
                <c:pt idx="115">
                  <c:v>688.83</c:v>
                </c:pt>
                <c:pt idx="116">
                  <c:v>1249.0999999999999</c:v>
                </c:pt>
                <c:pt idx="117">
                  <c:v>1014.22</c:v>
                </c:pt>
                <c:pt idx="118">
                  <c:v>1010.58</c:v>
                </c:pt>
                <c:pt idx="119">
                  <c:v>957.29</c:v>
                </c:pt>
                <c:pt idx="120">
                  <c:v>1077.92</c:v>
                </c:pt>
                <c:pt idx="121">
                  <c:v>1163.01</c:v>
                </c:pt>
                <c:pt idx="122">
                  <c:v>1014.56</c:v>
                </c:pt>
                <c:pt idx="123">
                  <c:v>718.04</c:v>
                </c:pt>
                <c:pt idx="124">
                  <c:v>1277.8499999999999</c:v>
                </c:pt>
                <c:pt idx="125">
                  <c:v>706.73</c:v>
                </c:pt>
                <c:pt idx="126">
                  <c:v>1410.59</c:v>
                </c:pt>
                <c:pt idx="127">
                  <c:v>1350.33</c:v>
                </c:pt>
                <c:pt idx="128">
                  <c:v>919.18</c:v>
                </c:pt>
                <c:pt idx="129">
                  <c:v>258.51</c:v>
                </c:pt>
                <c:pt idx="130">
                  <c:v>1213.48</c:v>
                </c:pt>
                <c:pt idx="131">
                  <c:v>1150.28</c:v>
                </c:pt>
                <c:pt idx="132">
                  <c:v>853.86</c:v>
                </c:pt>
                <c:pt idx="133">
                  <c:v>1061.04</c:v>
                </c:pt>
                <c:pt idx="134">
                  <c:v>894.55</c:v>
                </c:pt>
                <c:pt idx="135">
                  <c:v>833.91</c:v>
                </c:pt>
                <c:pt idx="136">
                  <c:v>820.19</c:v>
                </c:pt>
                <c:pt idx="137">
                  <c:v>511.74</c:v>
                </c:pt>
                <c:pt idx="138">
                  <c:v>806.03</c:v>
                </c:pt>
                <c:pt idx="139">
                  <c:v>1432.47</c:v>
                </c:pt>
                <c:pt idx="140">
                  <c:v>1488.58</c:v>
                </c:pt>
                <c:pt idx="141">
                  <c:v>1231.26</c:v>
                </c:pt>
                <c:pt idx="142">
                  <c:v>1161.67</c:v>
                </c:pt>
                <c:pt idx="143">
                  <c:v>388.23</c:v>
                </c:pt>
                <c:pt idx="144">
                  <c:v>1589.42</c:v>
                </c:pt>
                <c:pt idx="145">
                  <c:v>336.66</c:v>
                </c:pt>
                <c:pt idx="146">
                  <c:v>1353.79</c:v>
                </c:pt>
                <c:pt idx="147">
                  <c:v>662.61</c:v>
                </c:pt>
                <c:pt idx="148">
                  <c:v>309.42</c:v>
                </c:pt>
                <c:pt idx="149">
                  <c:v>884.63</c:v>
                </c:pt>
                <c:pt idx="150">
                  <c:v>745.05</c:v>
                </c:pt>
                <c:pt idx="151">
                  <c:v>870.23</c:v>
                </c:pt>
                <c:pt idx="152">
                  <c:v>862.19</c:v>
                </c:pt>
                <c:pt idx="153">
                  <c:v>1171.18</c:v>
                </c:pt>
                <c:pt idx="154">
                  <c:v>1054.56</c:v>
                </c:pt>
                <c:pt idx="155">
                  <c:v>1681.21</c:v>
                </c:pt>
                <c:pt idx="156">
                  <c:v>379.77</c:v>
                </c:pt>
                <c:pt idx="157">
                  <c:v>1076.33</c:v>
                </c:pt>
                <c:pt idx="158">
                  <c:v>1250.71</c:v>
                </c:pt>
                <c:pt idx="159">
                  <c:v>1118.3399999999999</c:v>
                </c:pt>
                <c:pt idx="160">
                  <c:v>1622.62</c:v>
                </c:pt>
                <c:pt idx="161">
                  <c:v>640.64</c:v>
                </c:pt>
                <c:pt idx="162">
                  <c:v>585.16</c:v>
                </c:pt>
                <c:pt idx="163">
                  <c:v>1109.98</c:v>
                </c:pt>
                <c:pt idx="164">
                  <c:v>1098.08</c:v>
                </c:pt>
                <c:pt idx="165">
                  <c:v>827.25</c:v>
                </c:pt>
                <c:pt idx="166">
                  <c:v>741.88</c:v>
                </c:pt>
                <c:pt idx="167">
                  <c:v>1311.26</c:v>
                </c:pt>
                <c:pt idx="168">
                  <c:v>573.32000000000005</c:v>
                </c:pt>
                <c:pt idx="169">
                  <c:v>1115.22</c:v>
                </c:pt>
                <c:pt idx="170">
                  <c:v>845.84</c:v>
                </c:pt>
                <c:pt idx="171">
                  <c:v>1029.8</c:v>
                </c:pt>
                <c:pt idx="172">
                  <c:v>1189.83</c:v>
                </c:pt>
                <c:pt idx="173">
                  <c:v>704.28</c:v>
                </c:pt>
                <c:pt idx="174">
                  <c:v>1618.22</c:v>
                </c:pt>
                <c:pt idx="175">
                  <c:v>1014.43</c:v>
                </c:pt>
                <c:pt idx="176">
                  <c:v>826.97</c:v>
                </c:pt>
                <c:pt idx="177">
                  <c:v>1022.23</c:v>
                </c:pt>
                <c:pt idx="178">
                  <c:v>1099.69</c:v>
                </c:pt>
                <c:pt idx="179">
                  <c:v>710.52</c:v>
                </c:pt>
                <c:pt idx="180">
                  <c:v>499.18</c:v>
                </c:pt>
                <c:pt idx="181">
                  <c:v>1064.19</c:v>
                </c:pt>
                <c:pt idx="182">
                  <c:v>438.76</c:v>
                </c:pt>
                <c:pt idx="183">
                  <c:v>864.98</c:v>
                </c:pt>
                <c:pt idx="184">
                  <c:v>984.93</c:v>
                </c:pt>
                <c:pt idx="185">
                  <c:v>1493.49</c:v>
                </c:pt>
                <c:pt idx="186">
                  <c:v>689.43</c:v>
                </c:pt>
                <c:pt idx="187">
                  <c:v>682.24</c:v>
                </c:pt>
                <c:pt idx="188">
                  <c:v>458.54</c:v>
                </c:pt>
                <c:pt idx="189">
                  <c:v>1184.25</c:v>
                </c:pt>
                <c:pt idx="190">
                  <c:v>762.14</c:v>
                </c:pt>
                <c:pt idx="191">
                  <c:v>750.71</c:v>
                </c:pt>
                <c:pt idx="192">
                  <c:v>1456.94</c:v>
                </c:pt>
                <c:pt idx="193">
                  <c:v>1093.3800000000001</c:v>
                </c:pt>
                <c:pt idx="194">
                  <c:v>934.27</c:v>
                </c:pt>
                <c:pt idx="195">
                  <c:v>1465.35</c:v>
                </c:pt>
                <c:pt idx="196">
                  <c:v>740.8</c:v>
                </c:pt>
                <c:pt idx="197">
                  <c:v>545.44000000000005</c:v>
                </c:pt>
                <c:pt idx="198">
                  <c:v>997.61</c:v>
                </c:pt>
                <c:pt idx="199">
                  <c:v>928.32</c:v>
                </c:pt>
              </c:numCache>
            </c:numRef>
          </c:xVal>
          <c:yVal>
            <c:numRef>
              <c:f>SALESDATA!$I$2:$I$201</c:f>
              <c:numCache>
                <c:formatCode>0.00</c:formatCode>
                <c:ptCount val="200"/>
                <c:pt idx="0">
                  <c:v>331.55</c:v>
                </c:pt>
                <c:pt idx="1">
                  <c:v>440.51</c:v>
                </c:pt>
                <c:pt idx="2">
                  <c:v>285.33999999999997</c:v>
                </c:pt>
                <c:pt idx="3">
                  <c:v>161.69999999999999</c:v>
                </c:pt>
                <c:pt idx="4">
                  <c:v>271.04000000000002</c:v>
                </c:pt>
                <c:pt idx="5">
                  <c:v>304.18</c:v>
                </c:pt>
                <c:pt idx="6">
                  <c:v>312.91000000000003</c:v>
                </c:pt>
                <c:pt idx="7">
                  <c:v>300.85000000000002</c:v>
                </c:pt>
                <c:pt idx="8">
                  <c:v>190.59</c:v>
                </c:pt>
                <c:pt idx="9">
                  <c:v>350.22</c:v>
                </c:pt>
                <c:pt idx="10">
                  <c:v>672.38</c:v>
                </c:pt>
                <c:pt idx="11">
                  <c:v>456.66</c:v>
                </c:pt>
                <c:pt idx="12">
                  <c:v>452.8</c:v>
                </c:pt>
                <c:pt idx="13">
                  <c:v>273.41000000000003</c:v>
                </c:pt>
                <c:pt idx="14">
                  <c:v>155.19999999999999</c:v>
                </c:pt>
                <c:pt idx="15">
                  <c:v>300.58999999999997</c:v>
                </c:pt>
                <c:pt idx="16">
                  <c:v>298.38</c:v>
                </c:pt>
                <c:pt idx="17">
                  <c:v>203.74</c:v>
                </c:pt>
                <c:pt idx="18">
                  <c:v>481.96</c:v>
                </c:pt>
                <c:pt idx="19">
                  <c:v>161.26</c:v>
                </c:pt>
                <c:pt idx="20">
                  <c:v>476.65</c:v>
                </c:pt>
                <c:pt idx="21">
                  <c:v>82.57</c:v>
                </c:pt>
                <c:pt idx="22">
                  <c:v>297.27</c:v>
                </c:pt>
                <c:pt idx="23">
                  <c:v>176.59</c:v>
                </c:pt>
                <c:pt idx="24">
                  <c:v>374.75</c:v>
                </c:pt>
                <c:pt idx="25">
                  <c:v>293.27999999999997</c:v>
                </c:pt>
                <c:pt idx="26">
                  <c:v>236.44</c:v>
                </c:pt>
                <c:pt idx="27">
                  <c:v>356.85</c:v>
                </c:pt>
                <c:pt idx="28">
                  <c:v>398.25</c:v>
                </c:pt>
                <c:pt idx="29">
                  <c:v>160.24</c:v>
                </c:pt>
                <c:pt idx="30">
                  <c:v>326.41000000000003</c:v>
                </c:pt>
                <c:pt idx="31">
                  <c:v>388.82</c:v>
                </c:pt>
                <c:pt idx="32">
                  <c:v>253.98</c:v>
                </c:pt>
                <c:pt idx="33">
                  <c:v>217.78</c:v>
                </c:pt>
                <c:pt idx="34">
                  <c:v>513.38</c:v>
                </c:pt>
                <c:pt idx="35">
                  <c:v>151.16</c:v>
                </c:pt>
                <c:pt idx="36">
                  <c:v>359.49</c:v>
                </c:pt>
                <c:pt idx="37">
                  <c:v>468.84</c:v>
                </c:pt>
                <c:pt idx="38">
                  <c:v>229.99</c:v>
                </c:pt>
                <c:pt idx="39">
                  <c:v>197.35</c:v>
                </c:pt>
                <c:pt idx="40">
                  <c:v>414.44</c:v>
                </c:pt>
                <c:pt idx="41">
                  <c:v>369.35</c:v>
                </c:pt>
                <c:pt idx="42">
                  <c:v>212.83</c:v>
                </c:pt>
                <c:pt idx="43">
                  <c:v>302.70999999999998</c:v>
                </c:pt>
                <c:pt idx="44">
                  <c:v>365.11</c:v>
                </c:pt>
                <c:pt idx="45">
                  <c:v>214.18</c:v>
                </c:pt>
                <c:pt idx="46">
                  <c:v>468.72</c:v>
                </c:pt>
                <c:pt idx="47">
                  <c:v>450.71</c:v>
                </c:pt>
                <c:pt idx="48">
                  <c:v>332.32</c:v>
                </c:pt>
                <c:pt idx="49">
                  <c:v>174.48</c:v>
                </c:pt>
                <c:pt idx="50">
                  <c:v>242.6</c:v>
                </c:pt>
                <c:pt idx="51">
                  <c:v>551.98</c:v>
                </c:pt>
                <c:pt idx="52">
                  <c:v>380.43</c:v>
                </c:pt>
                <c:pt idx="53">
                  <c:v>339.44</c:v>
                </c:pt>
                <c:pt idx="54">
                  <c:v>173.99</c:v>
                </c:pt>
                <c:pt idx="55">
                  <c:v>257.33</c:v>
                </c:pt>
                <c:pt idx="56">
                  <c:v>389.3</c:v>
                </c:pt>
                <c:pt idx="57">
                  <c:v>148.32</c:v>
                </c:pt>
                <c:pt idx="58">
                  <c:v>449.58</c:v>
                </c:pt>
                <c:pt idx="59">
                  <c:v>680.18</c:v>
                </c:pt>
                <c:pt idx="60">
                  <c:v>497.99</c:v>
                </c:pt>
                <c:pt idx="61">
                  <c:v>220.05</c:v>
                </c:pt>
                <c:pt idx="62">
                  <c:v>294.12</c:v>
                </c:pt>
                <c:pt idx="63">
                  <c:v>201.11</c:v>
                </c:pt>
                <c:pt idx="64">
                  <c:v>261.27</c:v>
                </c:pt>
                <c:pt idx="65">
                  <c:v>307.82</c:v>
                </c:pt>
                <c:pt idx="66">
                  <c:v>333.05</c:v>
                </c:pt>
                <c:pt idx="67">
                  <c:v>455.97</c:v>
                </c:pt>
                <c:pt idx="68">
                  <c:v>242.31</c:v>
                </c:pt>
                <c:pt idx="69">
                  <c:v>344.06</c:v>
                </c:pt>
                <c:pt idx="70">
                  <c:v>144.56</c:v>
                </c:pt>
                <c:pt idx="71">
                  <c:v>441.54</c:v>
                </c:pt>
                <c:pt idx="72">
                  <c:v>114.7</c:v>
                </c:pt>
                <c:pt idx="73">
                  <c:v>257.42</c:v>
                </c:pt>
                <c:pt idx="74">
                  <c:v>305.32</c:v>
                </c:pt>
                <c:pt idx="75">
                  <c:v>258.24</c:v>
                </c:pt>
                <c:pt idx="76">
                  <c:v>441.47</c:v>
                </c:pt>
                <c:pt idx="77">
                  <c:v>172.26</c:v>
                </c:pt>
                <c:pt idx="78">
                  <c:v>500.1</c:v>
                </c:pt>
                <c:pt idx="79">
                  <c:v>581.16</c:v>
                </c:pt>
                <c:pt idx="80">
                  <c:v>271.88</c:v>
                </c:pt>
                <c:pt idx="81">
                  <c:v>400.29</c:v>
                </c:pt>
                <c:pt idx="82">
                  <c:v>177.77</c:v>
                </c:pt>
                <c:pt idx="83">
                  <c:v>406.86</c:v>
                </c:pt>
                <c:pt idx="84">
                  <c:v>526</c:v>
                </c:pt>
                <c:pt idx="85">
                  <c:v>333.97</c:v>
                </c:pt>
                <c:pt idx="86">
                  <c:v>305.8</c:v>
                </c:pt>
                <c:pt idx="87">
                  <c:v>649.79</c:v>
                </c:pt>
                <c:pt idx="88">
                  <c:v>441.53</c:v>
                </c:pt>
                <c:pt idx="89">
                  <c:v>480.51</c:v>
                </c:pt>
                <c:pt idx="90">
                  <c:v>346.99</c:v>
                </c:pt>
                <c:pt idx="91">
                  <c:v>229.23</c:v>
                </c:pt>
                <c:pt idx="92">
                  <c:v>334.84</c:v>
                </c:pt>
                <c:pt idx="93">
                  <c:v>231.79</c:v>
                </c:pt>
                <c:pt idx="94">
                  <c:v>328.54</c:v>
                </c:pt>
                <c:pt idx="95">
                  <c:v>366.99</c:v>
                </c:pt>
                <c:pt idx="96">
                  <c:v>348.96</c:v>
                </c:pt>
                <c:pt idx="97">
                  <c:v>542.62</c:v>
                </c:pt>
                <c:pt idx="98">
                  <c:v>297.69</c:v>
                </c:pt>
                <c:pt idx="99">
                  <c:v>451.1</c:v>
                </c:pt>
                <c:pt idx="100">
                  <c:v>210.95</c:v>
                </c:pt>
                <c:pt idx="101">
                  <c:v>445.59</c:v>
                </c:pt>
                <c:pt idx="102">
                  <c:v>202.82</c:v>
                </c:pt>
                <c:pt idx="103">
                  <c:v>231.32</c:v>
                </c:pt>
                <c:pt idx="104">
                  <c:v>450.29</c:v>
                </c:pt>
                <c:pt idx="105">
                  <c:v>307.72000000000003</c:v>
                </c:pt>
                <c:pt idx="106">
                  <c:v>367.59</c:v>
                </c:pt>
                <c:pt idx="107">
                  <c:v>769.46</c:v>
                </c:pt>
                <c:pt idx="108">
                  <c:v>327.92</c:v>
                </c:pt>
                <c:pt idx="109">
                  <c:v>553.29999999999995</c:v>
                </c:pt>
                <c:pt idx="110">
                  <c:v>352.86</c:v>
                </c:pt>
                <c:pt idx="111">
                  <c:v>313.91000000000003</c:v>
                </c:pt>
                <c:pt idx="112">
                  <c:v>355.1</c:v>
                </c:pt>
                <c:pt idx="113">
                  <c:v>192.76</c:v>
                </c:pt>
                <c:pt idx="114">
                  <c:v>264.44</c:v>
                </c:pt>
                <c:pt idx="115">
                  <c:v>172.21</c:v>
                </c:pt>
                <c:pt idx="116">
                  <c:v>474.66</c:v>
                </c:pt>
                <c:pt idx="117">
                  <c:v>433.58</c:v>
                </c:pt>
                <c:pt idx="118">
                  <c:v>343.6</c:v>
                </c:pt>
                <c:pt idx="119">
                  <c:v>318.3</c:v>
                </c:pt>
                <c:pt idx="120">
                  <c:v>358.41</c:v>
                </c:pt>
                <c:pt idx="121">
                  <c:v>581.5</c:v>
                </c:pt>
                <c:pt idx="122">
                  <c:v>410.9</c:v>
                </c:pt>
                <c:pt idx="123">
                  <c:v>179.51</c:v>
                </c:pt>
                <c:pt idx="124">
                  <c:v>511.14</c:v>
                </c:pt>
                <c:pt idx="125">
                  <c:v>150.18</c:v>
                </c:pt>
                <c:pt idx="126">
                  <c:v>352.65</c:v>
                </c:pt>
                <c:pt idx="127">
                  <c:v>472.62</c:v>
                </c:pt>
                <c:pt idx="128">
                  <c:v>195.33</c:v>
                </c:pt>
                <c:pt idx="129">
                  <c:v>64.63</c:v>
                </c:pt>
                <c:pt idx="130">
                  <c:v>461.12</c:v>
                </c:pt>
                <c:pt idx="131">
                  <c:v>437.11</c:v>
                </c:pt>
                <c:pt idx="132">
                  <c:v>268.97000000000003</c:v>
                </c:pt>
                <c:pt idx="133">
                  <c:v>265.26</c:v>
                </c:pt>
                <c:pt idx="134">
                  <c:v>178.91</c:v>
                </c:pt>
                <c:pt idx="135">
                  <c:v>356.5</c:v>
                </c:pt>
                <c:pt idx="136">
                  <c:v>229.65</c:v>
                </c:pt>
                <c:pt idx="137">
                  <c:v>121.54</c:v>
                </c:pt>
                <c:pt idx="138">
                  <c:v>268</c:v>
                </c:pt>
                <c:pt idx="139">
                  <c:v>426.16</c:v>
                </c:pt>
                <c:pt idx="140">
                  <c:v>316.32</c:v>
                </c:pt>
                <c:pt idx="141">
                  <c:v>492.5</c:v>
                </c:pt>
                <c:pt idx="142">
                  <c:v>232.33</c:v>
                </c:pt>
                <c:pt idx="143">
                  <c:v>165.97</c:v>
                </c:pt>
                <c:pt idx="144">
                  <c:v>675.5</c:v>
                </c:pt>
                <c:pt idx="145">
                  <c:v>134.66</c:v>
                </c:pt>
                <c:pt idx="146">
                  <c:v>487.36</c:v>
                </c:pt>
                <c:pt idx="147">
                  <c:v>314.74</c:v>
                </c:pt>
                <c:pt idx="148">
                  <c:v>111.39</c:v>
                </c:pt>
                <c:pt idx="149">
                  <c:v>318.47000000000003</c:v>
                </c:pt>
                <c:pt idx="150">
                  <c:v>301.75</c:v>
                </c:pt>
                <c:pt idx="151">
                  <c:v>413.36</c:v>
                </c:pt>
                <c:pt idx="152">
                  <c:v>286.68</c:v>
                </c:pt>
                <c:pt idx="153">
                  <c:v>556.30999999999995</c:v>
                </c:pt>
                <c:pt idx="154">
                  <c:v>332.19</c:v>
                </c:pt>
                <c:pt idx="155">
                  <c:v>336.24</c:v>
                </c:pt>
                <c:pt idx="156">
                  <c:v>180.39</c:v>
                </c:pt>
                <c:pt idx="157">
                  <c:v>484.35</c:v>
                </c:pt>
                <c:pt idx="158">
                  <c:v>562.82000000000005</c:v>
                </c:pt>
                <c:pt idx="159">
                  <c:v>447.34</c:v>
                </c:pt>
                <c:pt idx="160">
                  <c:v>649.04999999999995</c:v>
                </c:pt>
                <c:pt idx="161">
                  <c:v>205</c:v>
                </c:pt>
                <c:pt idx="162">
                  <c:v>263.32</c:v>
                </c:pt>
                <c:pt idx="163">
                  <c:v>443.99</c:v>
                </c:pt>
                <c:pt idx="164">
                  <c:v>395.31</c:v>
                </c:pt>
                <c:pt idx="165">
                  <c:v>335.04</c:v>
                </c:pt>
                <c:pt idx="166">
                  <c:v>333.85</c:v>
                </c:pt>
                <c:pt idx="167">
                  <c:v>531.05999999999995</c:v>
                </c:pt>
                <c:pt idx="168">
                  <c:v>232.19</c:v>
                </c:pt>
                <c:pt idx="169">
                  <c:v>223.04</c:v>
                </c:pt>
                <c:pt idx="170">
                  <c:v>422.92</c:v>
                </c:pt>
                <c:pt idx="171">
                  <c:v>257.45</c:v>
                </c:pt>
                <c:pt idx="172">
                  <c:v>380.75</c:v>
                </c:pt>
                <c:pt idx="173">
                  <c:v>225.37</c:v>
                </c:pt>
                <c:pt idx="174">
                  <c:v>582.55999999999995</c:v>
                </c:pt>
                <c:pt idx="175">
                  <c:v>344.91</c:v>
                </c:pt>
                <c:pt idx="176">
                  <c:v>330.79</c:v>
                </c:pt>
                <c:pt idx="177">
                  <c:v>460</c:v>
                </c:pt>
                <c:pt idx="178">
                  <c:v>439.88</c:v>
                </c:pt>
                <c:pt idx="179">
                  <c:v>255.79</c:v>
                </c:pt>
                <c:pt idx="180">
                  <c:v>159.74</c:v>
                </c:pt>
                <c:pt idx="181">
                  <c:v>404.39</c:v>
                </c:pt>
                <c:pt idx="182">
                  <c:v>187.57</c:v>
                </c:pt>
                <c:pt idx="183">
                  <c:v>410.87</c:v>
                </c:pt>
                <c:pt idx="184">
                  <c:v>275.77999999999997</c:v>
                </c:pt>
                <c:pt idx="185">
                  <c:v>746.74</c:v>
                </c:pt>
                <c:pt idx="186">
                  <c:v>310.24</c:v>
                </c:pt>
                <c:pt idx="187">
                  <c:v>341.12</c:v>
                </c:pt>
                <c:pt idx="188">
                  <c:v>91.71</c:v>
                </c:pt>
                <c:pt idx="189">
                  <c:v>331.59</c:v>
                </c:pt>
                <c:pt idx="190">
                  <c:v>381.07</c:v>
                </c:pt>
                <c:pt idx="191">
                  <c:v>255.24</c:v>
                </c:pt>
                <c:pt idx="192">
                  <c:v>692.05</c:v>
                </c:pt>
                <c:pt idx="193">
                  <c:v>344.41</c:v>
                </c:pt>
                <c:pt idx="194">
                  <c:v>397.06</c:v>
                </c:pt>
                <c:pt idx="195">
                  <c:v>586.14</c:v>
                </c:pt>
                <c:pt idx="196">
                  <c:v>333.36</c:v>
                </c:pt>
                <c:pt idx="197">
                  <c:v>245.45</c:v>
                </c:pt>
                <c:pt idx="198">
                  <c:v>379.09</c:v>
                </c:pt>
                <c:pt idx="199">
                  <c:v>440.95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7D-450D-AC43-42A8E78AE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787391"/>
        <c:axId val="475790271"/>
      </c:scatterChart>
      <c:valAx>
        <c:axId val="475787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90271"/>
        <c:crosses val="autoZero"/>
        <c:crossBetween val="midCat"/>
      </c:valAx>
      <c:valAx>
        <c:axId val="47579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87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521970</xdr:colOff>
      <xdr:row>1</xdr:row>
      <xdr:rowOff>175260</xdr:rowOff>
    </xdr:from>
    <xdr:to>
      <xdr:col>15</xdr:col>
      <xdr:colOff>434340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63806D-CCBF-6DFD-B663-4F69B08DC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185697</xdr:colOff>
      <xdr:row>21</xdr:row>
      <xdr:rowOff>70246</xdr:rowOff>
    </xdr:from>
    <xdr:to>
      <xdr:col>14</xdr:col>
      <xdr:colOff>534040</xdr:colOff>
      <xdr:row>39</xdr:row>
      <xdr:rowOff>70245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9ABAA2-9C09-492B-9AC1-64B8816A24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555813</xdr:colOff>
      <xdr:row>21</xdr:row>
      <xdr:rowOff>73216</xdr:rowOff>
    </xdr:from>
    <xdr:to>
      <xdr:col>24</xdr:col>
      <xdr:colOff>152401</xdr:colOff>
      <xdr:row>39</xdr:row>
      <xdr:rowOff>74279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235C29-1A4F-4C01-B0A3-5CA4BC6DC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184607</xdr:colOff>
      <xdr:row>39</xdr:row>
      <xdr:rowOff>99315</xdr:rowOff>
    </xdr:from>
    <xdr:to>
      <xdr:col>14</xdr:col>
      <xdr:colOff>544925</xdr:colOff>
      <xdr:row>56</xdr:row>
      <xdr:rowOff>50587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6332DE-5185-4CDC-9A9A-A643B3815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569899</xdr:colOff>
      <xdr:row>39</xdr:row>
      <xdr:rowOff>101173</xdr:rowOff>
    </xdr:from>
    <xdr:to>
      <xdr:col>24</xdr:col>
      <xdr:colOff>148557</xdr:colOff>
      <xdr:row>56</xdr:row>
      <xdr:rowOff>41622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100973C-19E5-4A3C-B6FD-7CB200AC0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172191</xdr:colOff>
      <xdr:row>21</xdr:row>
      <xdr:rowOff>72936</xdr:rowOff>
    </xdr:from>
    <xdr:to>
      <xdr:col>32</xdr:col>
      <xdr:colOff>366155</xdr:colOff>
      <xdr:row>39</xdr:row>
      <xdr:rowOff>72935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9197BB-C1E1-4189-91D4-E36655B9A9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174170</xdr:colOff>
      <xdr:row>39</xdr:row>
      <xdr:rowOff>97972</xdr:rowOff>
    </xdr:from>
    <xdr:to>
      <xdr:col>32</xdr:col>
      <xdr:colOff>374467</xdr:colOff>
      <xdr:row>56</xdr:row>
      <xdr:rowOff>43543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42BC94-7E69-48E2-83FE-40569D13E5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174171</xdr:colOff>
      <xdr:row>56</xdr:row>
      <xdr:rowOff>97972</xdr:rowOff>
    </xdr:from>
    <xdr:to>
      <xdr:col>14</xdr:col>
      <xdr:colOff>533399</xdr:colOff>
      <xdr:row>73</xdr:row>
      <xdr:rowOff>65316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809E79-F75E-4261-9829-8B97EBFAE2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jun sinojia" refreshedDate="46080.578571990744" createdVersion="8" refreshedVersion="8" minRefreshableVersion="3" recordCount="200" xr:uid="{873EF3B9-7754-4352-B4B8-8F63BCB064EE}">
  <cacheSource type="worksheet">
    <worksheetSource name="Table1"/>
  </cacheSource>
  <cacheFields count="12">
    <cacheField name="Customer_ID" numFmtId="0">
      <sharedItems count="30">
        <s v="CUST019"/>
        <s v="CUST012"/>
        <s v="CUST017"/>
        <s v="CUST005"/>
        <s v="CUST030"/>
        <s v="CUST007"/>
        <s v="CUST001"/>
        <s v="CUST026"/>
        <s v="CUST009"/>
        <s v="CUST010"/>
        <s v="CUST014"/>
        <s v="CUST023"/>
        <s v="CUST029"/>
        <s v="CUST008"/>
        <s v="CUST006"/>
        <s v="CUST022"/>
        <s v="CUST028"/>
        <s v="CUST025"/>
        <s v="CUST021"/>
        <s v="CUST015"/>
        <s v="CUST016"/>
        <s v="CUST011"/>
        <s v="CUST002"/>
        <s v="CUST003"/>
        <s v="CUST020"/>
        <s v="CUST024"/>
        <s v="CUST004"/>
        <s v="CUST013"/>
        <s v="CUST027"/>
        <s v="CUST018"/>
      </sharedItems>
    </cacheField>
    <cacheField name="Customer_Name" numFmtId="0">
      <sharedItems count="27">
        <s v="James Davis"/>
        <s v="Robert Anderson"/>
        <s v="James Taylor"/>
        <s v="James Wilson"/>
        <s v="Michael Anderson"/>
        <s v="Linda Wilson"/>
        <s v="Mary Davis"/>
        <s v="Linda Jackson"/>
        <s v="David Thomas"/>
        <s v="Emma Davis"/>
        <s v="David Smith"/>
        <s v="Sarah Anderson"/>
        <s v="Lisa Thomas"/>
        <s v="Mary Jackson"/>
        <s v="Lisa Davis"/>
        <s v="Linda Brown"/>
        <s v="John Brown"/>
        <s v="Linda Taylor"/>
        <s v="David Brown"/>
        <s v="David Davis"/>
        <s v="Mary Wilson"/>
        <s v="Emma Wilson"/>
        <s v="Linda Davis"/>
        <s v="Sarah Davis"/>
        <s v="Emma Taylor"/>
        <s v="Linda Moore"/>
        <s v="David Anderson"/>
      </sharedItems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 count="200">
        <n v="1036.0899999999999"/>
        <n v="1101.28"/>
        <n v="713.34"/>
        <n v="760.93"/>
        <n v="847"/>
        <n v="965.64"/>
        <n v="1317.53"/>
        <n v="1074.47"/>
        <n v="501.54"/>
        <n v="737.31"/>
        <n v="1572.82"/>
        <n v="1343.13"/>
        <n v="1191.58"/>
        <n v="822.28"/>
        <n v="521.66999999999996"/>
        <n v="1502.93"/>
        <n v="877.58"/>
        <n v="636.70000000000005"/>
        <n v="1506.14"/>
        <n v="645.02"/>
        <n v="953.3"/>
        <n v="388.56"/>
        <n v="743.17"/>
        <n v="706.37"/>
        <n v="925.31"/>
        <n v="1173.1199999999999"/>
        <n v="675.54"/>
        <n v="939.09"/>
        <n v="983.34"/>
        <n v="801.21"/>
        <n v="1450.71"/>
        <n v="1023.21"/>
        <n v="853.72"/>
        <n v="967.89"/>
        <n v="1200.9000000000001"/>
        <n v="472.38"/>
        <n v="840.92"/>
        <n v="1410.06"/>
        <n v="773.09"/>
        <n v="580.42999999999995"/>
        <n v="1151.21"/>
        <n v="1025.98"/>
        <n v="556.41999999999996"/>
        <n v="840.85"/>
        <n v="1227.25"/>
        <n v="856.7"/>
        <n v="1225.42"/>
        <n v="1001.57"/>
        <n v="1186.8499999999999"/>
        <n v="775.45"/>
        <n v="1021.47"/>
        <n v="1226.6199999999999"/>
        <n v="1086.93"/>
        <n v="942.9"/>
        <n v="818.8"/>
        <n v="919.04"/>
        <n v="973.26"/>
        <n v="741.61"/>
        <n v="1248.82"/>
        <n v="1360.36"/>
        <n v="1383.3"/>
        <n v="488.99"/>
        <n v="933.71"/>
        <n v="1005.53"/>
        <n v="1100.0999999999999"/>
        <n v="1034.7"/>
        <n v="876.44"/>
        <n v="1371.34"/>
        <n v="1020.26"/>
        <n v="804.81"/>
        <n v="608.66"/>
        <n v="981.2"/>
        <n v="539.77"/>
        <n v="804.45"/>
        <n v="1526.6"/>
        <n v="1215.26"/>
        <n v="1261.3399999999999"/>
        <n v="518.07000000000005"/>
        <n v="1111.3399999999999"/>
        <n v="1291.47"/>
        <n v="679.71"/>
        <n v="1143.69"/>
        <n v="790.08"/>
        <n v="1070.68"/>
        <n v="1168.8900000000001"/>
        <n v="1335.87"/>
        <n v="873.7"/>
        <n v="1443.98"/>
        <n v="1154.33"/>
        <n v="1264.49"/>
        <n v="1101.55"/>
        <n v="727.73"/>
        <n v="875.41"/>
        <n v="1158.94"/>
        <n v="966.3"/>
        <n v="917.48"/>
        <n v="1172.97"/>
        <n v="1205.82"/>
        <n v="826.93"/>
        <n v="902.19"/>
        <n v="585.97"/>
        <n v="990.19"/>
        <n v="1014.09"/>
        <n v="925.29"/>
        <n v="1286.54"/>
        <n v="961.62"/>
        <n v="1081.1400000000001"/>
        <n v="1923.66"/>
        <n v="728.71"/>
        <n v="1301.8900000000001"/>
        <n v="980.18"/>
        <n v="697.57"/>
        <n v="1193.6099999999999"/>
        <n v="771.02"/>
        <n v="661.09"/>
        <n v="688.83"/>
        <n v="1249.0999999999999"/>
        <n v="1014.22"/>
        <n v="1010.58"/>
        <n v="957.29"/>
        <n v="1077.92"/>
        <n v="1163.01"/>
        <n v="1014.56"/>
        <n v="718.04"/>
        <n v="1277.8499999999999"/>
        <n v="706.73"/>
        <n v="1410.59"/>
        <n v="1350.33"/>
        <n v="919.18"/>
        <n v="258.51"/>
        <n v="1213.48"/>
        <n v="1150.28"/>
        <n v="853.86"/>
        <n v="1061.04"/>
        <n v="894.55"/>
        <n v="833.91"/>
        <n v="820.19"/>
        <n v="511.74"/>
        <n v="806.03"/>
        <n v="1432.47"/>
        <n v="1488.58"/>
        <n v="1231.26"/>
        <n v="1161.67"/>
        <n v="388.23"/>
        <n v="1589.42"/>
        <n v="336.66"/>
        <n v="1353.79"/>
        <n v="662.61"/>
        <n v="309.42"/>
        <n v="884.63"/>
        <n v="745.05"/>
        <n v="870.23"/>
        <n v="862.19"/>
        <n v="1171.18"/>
        <n v="1054.56"/>
        <n v="1681.21"/>
        <n v="379.77"/>
        <n v="1076.33"/>
        <n v="1250.71"/>
        <n v="1118.3399999999999"/>
        <n v="1622.62"/>
        <n v="640.64"/>
        <n v="585.16"/>
        <n v="1109.98"/>
        <n v="1098.08"/>
        <n v="827.25"/>
        <n v="741.88"/>
        <n v="1311.26"/>
        <n v="573.32000000000005"/>
        <n v="1115.22"/>
        <n v="845.84"/>
        <n v="1029.8"/>
        <n v="1189.83"/>
        <n v="704.28"/>
        <n v="1618.22"/>
        <n v="1014.43"/>
        <n v="826.97"/>
        <n v="1022.23"/>
        <n v="1099.69"/>
        <n v="710.52"/>
        <n v="499.18"/>
        <n v="1064.19"/>
        <n v="438.76"/>
        <n v="864.98"/>
        <n v="984.93"/>
        <n v="1493.49"/>
        <n v="689.43"/>
        <n v="682.24"/>
        <n v="458.54"/>
        <n v="1184.25"/>
        <n v="762.14"/>
        <n v="750.71"/>
        <n v="1456.94"/>
        <n v="1093.3800000000001"/>
        <n v="934.27"/>
        <n v="1465.35"/>
        <n v="740.8"/>
        <n v="545.44000000000005"/>
        <n v="997.61"/>
        <n v="928.32"/>
      </sharedItems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 count="5">
        <n v="0.2"/>
        <n v="0"/>
        <n v="0.15"/>
        <n v="0.1"/>
        <n v="0.05"/>
      </sharedItems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11"/>
    </cacheField>
    <cacheField name="Profit" numFmtId="0">
      <sharedItems containsSemiMixedTypes="0" containsString="0" containsNumber="1" minValue="64.63" maxValue="769.46" count="200">
        <n v="331.55"/>
        <n v="440.51"/>
        <n v="285.33999999999997"/>
        <n v="161.69999999999999"/>
        <n v="271.04000000000002"/>
        <n v="304.18"/>
        <n v="312.91000000000003"/>
        <n v="300.85000000000002"/>
        <n v="190.59"/>
        <n v="350.22"/>
        <n v="672.38"/>
        <n v="456.66"/>
        <n v="452.8"/>
        <n v="273.41000000000003"/>
        <n v="155.19999999999999"/>
        <n v="300.58999999999997"/>
        <n v="298.38"/>
        <n v="203.74"/>
        <n v="481.96"/>
        <n v="161.26"/>
        <n v="476.65"/>
        <n v="82.57"/>
        <n v="297.27"/>
        <n v="176.59"/>
        <n v="374.75"/>
        <n v="293.27999999999997"/>
        <n v="236.44"/>
        <n v="356.85"/>
        <n v="398.25"/>
        <n v="160.24"/>
        <n v="326.41000000000003"/>
        <n v="388.82"/>
        <n v="253.98"/>
        <n v="217.78"/>
        <n v="513.38"/>
        <n v="151.16"/>
        <n v="359.49"/>
        <n v="468.84"/>
        <n v="229.99"/>
        <n v="197.35"/>
        <n v="414.44"/>
        <n v="369.35"/>
        <n v="212.83"/>
        <n v="302.70999999999998"/>
        <n v="365.11"/>
        <n v="214.18"/>
        <n v="468.72"/>
        <n v="450.71"/>
        <n v="332.32"/>
        <n v="174.48"/>
        <n v="242.6"/>
        <n v="551.98"/>
        <n v="380.43"/>
        <n v="339.44"/>
        <n v="173.99"/>
        <n v="257.33"/>
        <n v="389.3"/>
        <n v="148.32"/>
        <n v="449.58"/>
        <n v="680.18"/>
        <n v="497.99"/>
        <n v="220.05"/>
        <n v="294.12"/>
        <n v="201.11"/>
        <n v="261.27"/>
        <n v="307.82"/>
        <n v="333.05"/>
        <n v="455.97"/>
        <n v="242.31"/>
        <n v="344.06"/>
        <n v="144.56"/>
        <n v="441.54"/>
        <n v="114.7"/>
        <n v="257.42"/>
        <n v="305.32"/>
        <n v="258.24"/>
        <n v="441.47"/>
        <n v="172.26"/>
        <n v="500.1"/>
        <n v="581.16"/>
        <n v="271.88"/>
        <n v="400.29"/>
        <n v="177.77"/>
        <n v="406.86"/>
        <n v="526"/>
        <n v="333.97"/>
        <n v="305.8"/>
        <n v="649.79"/>
        <n v="441.53"/>
        <n v="480.51"/>
        <n v="346.99"/>
        <n v="229.23"/>
        <n v="334.84"/>
        <n v="231.79"/>
        <n v="328.54"/>
        <n v="366.99"/>
        <n v="348.96"/>
        <n v="542.62"/>
        <n v="297.69"/>
        <n v="451.1"/>
        <n v="210.95"/>
        <n v="445.59"/>
        <n v="202.82"/>
        <n v="231.32"/>
        <n v="450.29"/>
        <n v="307.72000000000003"/>
        <n v="367.59"/>
        <n v="769.46"/>
        <n v="327.92"/>
        <n v="553.29999999999995"/>
        <n v="352.86"/>
        <n v="313.91000000000003"/>
        <n v="355.1"/>
        <n v="192.76"/>
        <n v="264.44"/>
        <n v="172.21"/>
        <n v="474.66"/>
        <n v="433.58"/>
        <n v="343.6"/>
        <n v="318.3"/>
        <n v="358.41"/>
        <n v="581.5"/>
        <n v="410.9"/>
        <n v="179.51"/>
        <n v="511.14"/>
        <n v="150.18"/>
        <n v="352.65"/>
        <n v="472.62"/>
        <n v="195.33"/>
        <n v="64.63"/>
        <n v="461.12"/>
        <n v="437.11"/>
        <n v="268.97000000000003"/>
        <n v="265.26"/>
        <n v="178.91"/>
        <n v="356.5"/>
        <n v="229.65"/>
        <n v="121.54"/>
        <n v="268"/>
        <n v="426.16"/>
        <n v="316.32"/>
        <n v="492.5"/>
        <n v="232.33"/>
        <n v="165.97"/>
        <n v="675.5"/>
        <n v="134.66"/>
        <n v="487.36"/>
        <n v="314.74"/>
        <n v="111.39"/>
        <n v="318.47000000000003"/>
        <n v="301.75"/>
        <n v="413.36"/>
        <n v="286.68"/>
        <n v="556.30999999999995"/>
        <n v="332.19"/>
        <n v="336.24"/>
        <n v="180.39"/>
        <n v="484.35"/>
        <n v="562.82000000000005"/>
        <n v="447.34"/>
        <n v="649.04999999999995"/>
        <n v="205"/>
        <n v="263.32"/>
        <n v="443.99"/>
        <n v="395.31"/>
        <n v="335.04"/>
        <n v="333.85"/>
        <n v="531.05999999999995"/>
        <n v="232.19"/>
        <n v="223.04"/>
        <n v="422.92"/>
        <n v="257.45"/>
        <n v="380.75"/>
        <n v="225.37"/>
        <n v="582.55999999999995"/>
        <n v="344.91"/>
        <n v="330.79"/>
        <n v="460"/>
        <n v="439.88"/>
        <n v="255.79"/>
        <n v="159.74"/>
        <n v="404.39"/>
        <n v="187.57"/>
        <n v="410.87"/>
        <n v="275.77999999999997"/>
        <n v="746.74"/>
        <n v="310.24"/>
        <n v="341.12"/>
        <n v="91.71"/>
        <n v="331.59"/>
        <n v="381.07"/>
        <n v="255.24"/>
        <n v="692.05"/>
        <n v="344.41"/>
        <n v="397.06"/>
        <n v="586.14"/>
        <n v="333.36"/>
        <n v="245.45"/>
        <n v="379.09"/>
        <n v="440.95"/>
      </sharedItems>
    </cacheField>
    <cacheField name="Months (Order_Date)" numFmtId="0" databaseField="0">
      <fieldGroup base="7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Quarters (Order_Date)" numFmtId="0" databaseField="0">
      <fieldGroup base="7">
        <rangePr groupBy="quarters" startDate="2024-04-10T00:00:00" endDate="2025-04-08T00:00:00"/>
        <groupItems count="6">
          <s v="&lt;10-04-2024"/>
          <s v="Qtr1"/>
          <s v="Qtr2"/>
          <s v="Qtr3"/>
          <s v="Qtr4"/>
          <s v="&gt;08-04-2025"/>
        </groupItems>
      </fieldGroup>
    </cacheField>
    <cacheField name="Years (Order_Date)" numFmtId="0" databaseField="0">
      <fieldGroup base="7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jun sinojia" refreshedDate="46080.818862268519" createdVersion="8" refreshedVersion="8" minRefreshableVersion="3" recordCount="200" xr:uid="{CA13499B-861E-48F8-B9B6-CE54A2C27B35}">
  <cacheSource type="worksheet">
    <worksheetSource name="Table1"/>
  </cacheSource>
  <cacheFields count="15">
    <cacheField name="Customer_ID" numFmtId="0">
      <sharedItems/>
    </cacheField>
    <cacheField name="Customer_Name" numFmtId="0">
      <sharedItems/>
    </cacheField>
    <cacheField name="Region" numFmtId="0">
      <sharedItems/>
    </cacheField>
    <cacheField name="Product_Category" numFmtId="0">
      <sharedItems/>
    </cacheField>
    <cacheField name="Sales" numFmtId="2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  <fieldGroup par="14"/>
    </cacheField>
    <cacheField name="Profit" numFmtId="2">
      <sharedItems containsSemiMixedTypes="0" containsString="0" containsNumber="1" minValue="64.63" maxValue="769.46"/>
    </cacheField>
    <cacheField name="D_Type" numFmtId="0">
      <sharedItems/>
    </cacheField>
    <cacheField name="Timestamp" numFmtId="22">
      <sharedItems containsSemiMixedTypes="0" containsNonDate="0" containsDate="1" containsString="0" minDate="2026-02-27T19:38:54" maxDate="2026-02-27T19:38:54"/>
    </cacheField>
    <cacheField name="High_Sales" numFmtId="0">
      <sharedItems count="4">
        <s v="High purchase"/>
        <s v="Normal purchase"/>
        <s v="High Value" u="1"/>
        <s v="Normal" u="1"/>
      </sharedItems>
    </cacheField>
    <cacheField name="Months (Order_Date)" numFmtId="0" databaseField="0">
      <fieldGroup base="7">
        <rangePr groupBy="months" startDate="2024-04-10T00:00:00" endDate="2025-04-08T00:00:00"/>
        <groupItems count="14">
          <s v="&lt;10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8-04-2025"/>
        </groupItems>
      </fieldGroup>
    </cacheField>
    <cacheField name="Quarters (Order_Date)" numFmtId="0" databaseField="0">
      <fieldGroup base="7">
        <rangePr groupBy="quarters" startDate="2024-04-10T00:00:00" endDate="2025-04-08T00:00:00"/>
        <groupItems count="6">
          <s v="&lt;10-04-2024"/>
          <s v="Qtr1"/>
          <s v="Qtr2"/>
          <s v="Qtr3"/>
          <s v="Qtr4"/>
          <s v="&gt;08-04-2025"/>
        </groupItems>
      </fieldGroup>
    </cacheField>
    <cacheField name="Years (Order_Date)" numFmtId="0" databaseField="0">
      <fieldGroup base="7">
        <rangePr groupBy="years" startDate="2024-04-10T00:00:00" endDate="2025-04-08T00:00:00"/>
        <groupItems count="4">
          <s v="&lt;10-04-2024"/>
          <s v="2024"/>
          <s v="2025"/>
          <s v="&gt;08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jun sinojia" refreshedDate="46080.790623263892" backgroundQuery="1" createdVersion="8" refreshedVersion="8" minRefreshableVersion="3" recordCount="0" supportSubquery="1" supportAdvancedDrill="1" xr:uid="{49C04DDD-E2AD-40EF-B7BB-200E24B10F1F}">
  <cacheSource type="external" connectionId="1"/>
  <cacheFields count="3">
    <cacheField name="[Table1].[Discount].[Discount]" caption="Discount" numFmtId="0" hierarchy="6" level="1">
      <sharedItems containsSemiMixedTypes="0" containsString="0" containsNumber="1" minValue="0" maxValue="0.2" count="5">
        <n v="0"/>
        <n v="0.05"/>
        <n v="0.1"/>
        <n v="0.15"/>
        <n v="0.2"/>
      </sharedItems>
    </cacheField>
    <cacheField name="[Table1].[Product_Category].[Product_Category]" caption="Product_Category" numFmtId="0" hierarchy="3" level="1">
      <sharedItems count="5">
        <s v="Books"/>
        <s v="Clothing"/>
        <s v="Electronics"/>
        <s v="Furniture"/>
        <s v="Office Supplies"/>
      </sharedItems>
    </cacheField>
    <cacheField name="[Measures].[Sum of Profit]" caption="Sum of Profit" numFmtId="0" hierarchy="12" level="32767"/>
  </cacheFields>
  <cacheHierarchies count="18"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Customer_Name]" caption="Customer_Name" attribute="1" defaultMemberUniqueName="[Table1].[Customer_Name].[All]" allUniqueName="[Table1].[Customer_Name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_Category]" caption="Product_Category" attribute="1" defaultMemberUniqueName="[Table1].[Product_Category].[All]" allUniqueName="[Table1].[Product_Category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2" memberValueDatatype="5" unbalanced="0">
      <fieldsUsage count="2">
        <fieldUsage x="-1"/>
        <fieldUsage x="0"/>
      </fieldsUsage>
    </cacheHierarchy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D_Type]" caption="D_Type" attribute="1" defaultMemberUniqueName="[Table1].[D_Type].[All]" allUniqueName="[Table1].[D_Type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Sales]" caption="Sum of Sales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Discount]" caption="Sum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Discount]" caption="Average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roduct_Category]" caption="Count of Product_Category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jun sinojia" refreshedDate="46080.618989120368" backgroundQuery="1" createdVersion="8" refreshedVersion="8" minRefreshableVersion="3" recordCount="0" supportSubquery="1" supportAdvancedDrill="1" xr:uid="{98073600-A842-43AA-8C84-C9D6E794F714}">
  <cacheSource type="external" connectionId="1"/>
  <cacheFields count="2">
    <cacheField name="[Table1].[D_Type].[D_Type]" caption="D_Type" numFmtId="0" hierarchy="9" level="1">
      <sharedItems count="4">
        <s v="High Discount"/>
        <s v="Low Discount"/>
        <s v="Medium Discount"/>
        <s v="No Discount"/>
      </sharedItems>
    </cacheField>
    <cacheField name="[Measures].[Sum of Profit]" caption="Sum of Profit" numFmtId="0" hierarchy="12" level="32767"/>
  </cacheFields>
  <cacheHierarchies count="18"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Customer_Name]" caption="Customer_Name" attribute="1" defaultMemberUniqueName="[Table1].[Customer_Name].[All]" allUniqueName="[Table1].[Customer_Name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_Category]" caption="Product_Category" attribute="1" defaultMemberUniqueName="[Table1].[Product_Category].[All]" allUniqueName="[Table1].[Product_Category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D_Type]" caption="D_Type" attribute="1" defaultMemberUniqueName="[Table1].[D_Type].[All]" allUniqueName="[Table1].[D_Type].[All]" dimensionUniqueName="[Table1]" displayFolder="" count="2" memberValueDatatype="130" unbalanced="0">
      <fieldsUsage count="2">
        <fieldUsage x="-1"/>
        <fieldUsage x="0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Sales]" caption="Sum of Sales" measure="1" displayFolder="" measureGroup="Table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Discount]" caption="Sum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Discount]" caption="Average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roduct_Category]" caption="Count of Product_Category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jun sinojia" refreshedDate="46080.839311342592" backgroundQuery="1" createdVersion="8" refreshedVersion="8" minRefreshableVersion="3" recordCount="0" supportSubquery="1" supportAdvancedDrill="1" xr:uid="{60B95DBC-2AE5-4A97-945E-06802FF572EB}">
  <cacheSource type="external" connectionId="1"/>
  <cacheFields count="3">
    <cacheField name="[Table1].[Region].[Region]" caption="Region" numFmtId="0" hierarchy="2" level="1">
      <sharedItems count="5">
        <s v="Central"/>
        <s v="East"/>
        <s v="North"/>
        <s v="South"/>
        <s v="West"/>
      </sharedItems>
    </cacheField>
    <cacheField name="[Measures].[Sum of Sales]" caption="Sum of Sales" numFmtId="0" hierarchy="13" level="32767"/>
    <cacheField name="[Measures].[Sum of Profit]" caption="Sum of Profit" numFmtId="0" hierarchy="12" level="32767"/>
  </cacheFields>
  <cacheHierarchies count="18"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Customer_Name]" caption="Customer_Name" attribute="1" defaultMemberUniqueName="[Table1].[Customer_Name].[All]" allUniqueName="[Table1].[Customer_Name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Product_Category]" caption="Product_Category" attribute="1" defaultMemberUniqueName="[Table1].[Product_Category].[All]" allUniqueName="[Table1].[Product_Category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D_Type]" caption="D_Type" attribute="1" defaultMemberUniqueName="[Table1].[D_Type].[All]" allUniqueName="[Table1].[D_Type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Sales]" caption="Sum of Sales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Discount]" caption="Sum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Discount]" caption="Average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roduct_Category]" caption="Count of Product_Category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jun sinojia" refreshedDate="46080.844722916663" backgroundQuery="1" createdVersion="8" refreshedVersion="8" minRefreshableVersion="3" recordCount="0" supportSubquery="1" supportAdvancedDrill="1" xr:uid="{BDA4C4EF-9B35-4957-9FAE-E7CAFCA0629E}">
  <cacheSource type="external" connectionId="1"/>
  <cacheFields count="4">
    <cacheField name="[Table1].[Product_Category].[Product_Category]" caption="Product_Category" numFmtId="0" hierarchy="3" level="1">
      <sharedItems count="5">
        <s v="Books"/>
        <s v="Clothing"/>
        <s v="Electronics"/>
        <s v="Furniture"/>
        <s v="Office Supplies"/>
      </sharedItems>
    </cacheField>
    <cacheField name="[Measures].[Sum of Profit]" caption="Sum of Profit" numFmtId="0" hierarchy="12" level="32767"/>
    <cacheField name="[Measures].[Sum of Quantity]" caption="Sum of Quantity" numFmtId="0" hierarchy="17" level="32767"/>
    <cacheField name="[Measures].[Sum of Sales]" caption="Sum of Sales" numFmtId="0" hierarchy="13" level="32767"/>
  </cacheFields>
  <cacheHierarchies count="18"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Customer_Name]" caption="Customer_Name" attribute="1" defaultMemberUniqueName="[Table1].[Customer_Name].[All]" allUniqueName="[Table1].[Customer_Name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_Category]" caption="Product_Category" attribute="1" defaultMemberUniqueName="[Table1].[Product_Category].[All]" allUniqueName="[Table1].[Product_Category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D_Type]" caption="D_Type" attribute="1" defaultMemberUniqueName="[Table1].[D_Type].[All]" allUniqueName="[Table1].[D_Type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Sales]" caption="Sum of Sales" measure="1" displayFolder="" measureGroup="Table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Discount]" caption="Sum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Discount]" caption="Average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roduct_Category]" caption="Count of Product_Category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uantity]" caption="Sum of Quantity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jun sinojia" refreshedDate="46080.855213078707" createdVersion="8" refreshedVersion="8" minRefreshableVersion="3" recordCount="200" xr:uid="{B0A19269-3FEB-45A8-820D-1E3D90E5F13E}">
  <cacheSource type="worksheet">
    <worksheetSource name="Table1"/>
  </cacheSource>
  <cacheFields count="13">
    <cacheField name="Customer_ID" numFmtId="0">
      <sharedItems/>
    </cacheField>
    <cacheField name="Customer_Name" numFmtId="0">
      <sharedItems/>
    </cacheField>
    <cacheField name="Region" numFmtId="0">
      <sharedItems/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2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4">
      <sharedItems containsSemiMixedTypes="0" containsNonDate="0" containsDate="1" containsString="0" minDate="2024-04-10T00:00:00" maxDate="2025-04-08T00:00:00"/>
    </cacheField>
    <cacheField name="Profit" numFmtId="2">
      <sharedItems containsSemiMixedTypes="0" containsString="0" containsNumber="1" minValue="64.63" maxValue="769.46"/>
    </cacheField>
    <cacheField name="D_Type" numFmtId="0">
      <sharedItems/>
    </cacheField>
    <cacheField name="Timestamp" numFmtId="22">
      <sharedItems containsSemiMixedTypes="0" containsNonDate="0" containsDate="1" containsString="0" minDate="2026-02-27T20:31:00" maxDate="2026-02-27T20:31:00"/>
    </cacheField>
    <cacheField name="High_Sales" numFmtId="0">
      <sharedItems count="2">
        <s v="High purchase"/>
        <s v="Normal purchase"/>
      </sharedItems>
    </cacheField>
    <cacheField name="Profit Margin" numFmtId="10">
      <sharedItems containsSemiMixedTypes="0" containsString="0" containsNumber="1" minValue="0.19999641326375064" maxValue="0.50000554206985226" count="191">
        <n v="0.32000115820054248"/>
        <n v="0.39999818393142528"/>
        <n v="0.40000560742422964"/>
        <n v="0.2125031211806605"/>
        <n v="0.32"/>
        <n v="0.31500352098090389"/>
        <n v="0.23749743838849971"/>
        <n v="0.279998510893743"/>
        <n v="0.38000957052278977"/>
        <n v="0.47499694836635886"/>
        <n v="0.42749965030963494"/>
        <n v="0.33999687297581022"/>
        <n v="0.37999966431125065"/>
        <n v="0.33250231064844094"/>
        <n v="0.29750608622309122"/>
        <n v="0.20000266146793261"/>
        <n v="0.34000319059231066"/>
        <n v="0.31999371760640805"/>
        <n v="0.319996813045268"/>
        <n v="0.25000775169762179"/>
        <n v="0.5"/>
        <n v="0.21250257360510602"/>
        <n v="0.40000269117429388"/>
        <n v="0.24999646077834564"/>
        <n v="0.40499940560460823"/>
        <n v="0.25"/>
        <n v="0.35000148029724371"/>
        <n v="0.37999552758521549"/>
        <n v="0.40499725425590333"/>
        <n v="0.19999750377553949"/>
        <n v="0.22500017232941114"/>
        <n v="0.38000019546329689"/>
        <n v="0.29749800871480109"/>
        <n v="0.22500490758247321"/>
        <n v="0.42749604463319174"/>
        <n v="0.31999661289639697"/>
        <n v="0.42749607572658521"/>
        <n v="0.33249648951108463"/>
        <n v="0.29749447024279191"/>
        <n v="0.3400065468704237"/>
        <n v="0.36000382206547893"/>
        <n v="0.35999727090196693"/>
        <n v="0.38249883181769173"/>
        <n v="0.3600047570910388"/>
        <n v="0.2975025463434508"/>
        <n v="0.25000583634878021"/>
        <n v="0.38249742945275905"/>
        <n v="0.4500034945136136"/>
        <n v="0.2800016851329149"/>
        <n v="0.22500483590173445"/>
        <n v="0.23750085660861306"/>
        <n v="0.45000081524840624"/>
        <n v="0.35000414010101843"/>
        <n v="0.35999575776858628"/>
        <n v="0.21249389350268688"/>
        <n v="0.27999869428969359"/>
        <n v="0.39999589010130904"/>
        <n v="0.19999730316473616"/>
        <n v="0.36000384362838522"/>
        <n v="0.36000144581797155"/>
        <n v="0.45000920264218086"/>
        <n v="0.31500144584506967"/>
        <n v="0.2000039780016509"/>
        <n v="0.23749659121898009"/>
        <n v="0.29749685899294481"/>
        <n v="0.38000319474236682"/>
        <n v="0.33249959893243108"/>
        <n v="0.23749828475094584"/>
        <n v="0.42750462842161507"/>
        <n v="0.23750533959846221"/>
        <n v="0.45"/>
        <n v="0.21249791577894289"/>
        <n v="0.31999502765864879"/>
        <n v="0.2"/>
        <n v="0.21249773710975431"/>
        <n v="0.35000079280764906"/>
        <n v="0.3325033296658752"/>
        <n v="0.4499973005560855"/>
        <n v="0.44999883853283462"/>
        <n v="0.39999411513733796"/>
        <n v="0.34999868845578785"/>
        <n v="0.22500253138922641"/>
        <n v="0.38000149437740499"/>
        <n v="0.44999957224375259"/>
        <n v="0.25000187143958624"/>
        <n v="0.3500057227881424"/>
        <n v="0.44999930746963251"/>
        <n v="0.38249893877833896"/>
        <n v="0.38000300516413732"/>
        <n v="0.31500158867050976"/>
        <n v="0.31499319802674064"/>
        <n v="0.382495059457854"/>
        <n v="0.20000172571487737"/>
        <n v="0.339997930249405"/>
        <n v="0.39999782011596985"/>
        <n v="0.29750121486483028"/>
        <n v="0.45000082931117419"/>
        <n v="0.35999419539743388"/>
        <n v="0.50000554206985226"/>
        <n v="0.36000136525760701"/>
        <n v="0.45000454458235284"/>
        <n v="0.2000019722115394"/>
        <n v="0.24999729814436555"/>
        <n v="0.35000077727859225"/>
        <n v="0.32000166385890477"/>
        <n v="0.34000221987901652"/>
        <n v="0.39999792063046485"/>
        <n v="0.4500006861440079"/>
        <n v="0.4249975036293388"/>
        <n v="0.35999510294027631"/>
        <n v="0.45000501741760685"/>
        <n v="0.29750085873945431"/>
        <n v="0.25000648491608518"/>
        <n v="0.4000060506133809"/>
        <n v="0.2500036293425083"/>
        <n v="0.3800016011528301"/>
        <n v="0.42750093668040462"/>
        <n v="0.34000277068614065"/>
        <n v="0.33250112296169398"/>
        <n v="0.33250148434021076"/>
        <n v="0.49999570081082706"/>
        <n v="0.40500315407664406"/>
        <n v="0.4"/>
        <n v="0.21249982312905918"/>
        <n v="0.25000177230804133"/>
        <n v="0.35000333251871768"/>
        <n v="0.21250462368632914"/>
        <n v="0.25000967080577152"/>
        <n v="0.37999802221709461"/>
        <n v="0.38000312967277533"/>
        <n v="0.31500480172393602"/>
        <n v="0.42750416711635547"/>
        <n v="0.2799960984649898"/>
        <n v="0.2375034197053191"/>
        <n v="0.33249382777315983"/>
        <n v="0.29750012216660732"/>
        <n v="0.21249781671122817"/>
        <n v="0.39999675129542095"/>
        <n v="0.19999655668132946"/>
        <n v="0.42750431445277282"/>
        <n v="0.42499779793887077"/>
        <n v="0.39998811857660543"/>
        <n v="0.35999674986519331"/>
        <n v="0.47500037729584521"/>
        <n v="0.35999612177622647"/>
        <n v="0.36000361733153979"/>
        <n v="0.40500637541104628"/>
        <n v="0.47500086184112245"/>
        <n v="0.33250211670281493"/>
        <n v="0.47499957308014135"/>
        <n v="0.31500341374601731"/>
        <n v="0.19999881038061873"/>
        <n v="0.47499802512046763"/>
        <n v="0.45000139362463193"/>
        <n v="0.45000039977292899"/>
        <n v="0.40000357672979597"/>
        <n v="0.40000123257447834"/>
        <n v="0.31999250749250752"/>
        <n v="0.44999658213138288"/>
        <n v="0.39999819816573273"/>
        <n v="0.36000109281655257"/>
        <n v="0.40500453309156847"/>
        <n v="0.45000539170755383"/>
        <n v="0.40499977121242159"/>
        <n v="0.40499197655759434"/>
        <n v="0.19999641326375064"/>
        <n v="0.32000369800727835"/>
        <n v="0.32000056795592663"/>
        <n v="0.36000049437035753"/>
        <n v="0.34000374594599925"/>
        <n v="0.40000241846741719"/>
        <n v="0.44999657611300781"/>
        <n v="0.40000363738871864"/>
        <n v="0.36000394077576986"/>
        <n v="0.3200048078849313"/>
        <n v="0.37999793269998777"/>
        <n v="0.42750022791503328"/>
        <n v="0.47500520243242617"/>
        <n v="0.27999959387976808"/>
        <n v="0.499996652136941"/>
        <n v="0.44999492334247138"/>
        <n v="0.20000436166964711"/>
        <n v="0.27999999999999997"/>
        <n v="0.33999813509877314"/>
        <n v="0.47500240229522145"/>
        <n v="0.31499570140298888"/>
        <n v="0.42499491581662691"/>
        <n v="0.45000000000000007"/>
        <n v="0.45000366676444697"/>
        <n v="0.37999819568769355"/>
        <n v="0.474997845570492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jun sinojia" refreshedDate="46080.857860648146" backgroundQuery="1" createdVersion="8" refreshedVersion="8" minRefreshableVersion="3" recordCount="0" supportSubquery="1" supportAdvancedDrill="1" xr:uid="{AD1D9F89-A0AE-469C-8172-45827615B8B5}">
  <cacheSource type="external" connectionId="1"/>
  <cacheFields count="3">
    <cacheField name="[Measures].[Sum of Sales]" caption="Sum of Sales" numFmtId="0" hierarchy="13" level="32767"/>
    <cacheField name="[Table1].[Product_Category].[Product_Category]" caption="Product_Category" numFmtId="0" hierarchy="3" level="1">
      <sharedItems count="5">
        <s v="Books"/>
        <s v="Clothing"/>
        <s v="Electronics"/>
        <s v="Furniture"/>
        <s v="Office Supplies"/>
      </sharedItems>
    </cacheField>
    <cacheField name="[Measures].[Sum of Profit]" caption="Sum of Profit" numFmtId="0" hierarchy="12" level="32767"/>
  </cacheFields>
  <cacheHierarchies count="18">
    <cacheHierarchy uniqueName="[Table1].[Customer_ID]" caption="Customer_ID" attribute="1" defaultMemberUniqueName="[Table1].[Customer_ID].[All]" allUniqueName="[Table1].[Customer_ID].[All]" dimensionUniqueName="[Table1]" displayFolder="" count="0" memberValueDatatype="130" unbalanced="0"/>
    <cacheHierarchy uniqueName="[Table1].[Customer_Name]" caption="Customer_Name" attribute="1" defaultMemberUniqueName="[Table1].[Customer_Name].[All]" allUniqueName="[Table1].[Customer_Name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_Category]" caption="Product_Category" attribute="1" defaultMemberUniqueName="[Table1].[Product_Category].[All]" allUniqueName="[Table1].[Product_Category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D_Type]" caption="D_Type" attribute="1" defaultMemberUniqueName="[Table1].[D_Type].[All]" allUniqueName="[Table1].[D_Type].[All]" dimensionUniqueName="[Table1]" displayFolder="" count="2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Sales]" caption="Sum of Sales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Discount]" caption="Sum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Average of Discount]" caption="Average of Discount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roduct_Category]" caption="Count of Product_Category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Quantity]" caption="Sum of Quantity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x v="0"/>
    <x v="0"/>
    <x v="0"/>
    <x v="0"/>
    <n v="4"/>
    <x v="0"/>
    <x v="0"/>
    <x v="0"/>
  </r>
  <r>
    <x v="1"/>
    <x v="1"/>
    <x v="0"/>
    <x v="1"/>
    <x v="1"/>
    <n v="3"/>
    <x v="0"/>
    <x v="1"/>
    <x v="1"/>
  </r>
  <r>
    <x v="2"/>
    <x v="2"/>
    <x v="1"/>
    <x v="0"/>
    <x v="2"/>
    <n v="17"/>
    <x v="1"/>
    <x v="2"/>
    <x v="2"/>
  </r>
  <r>
    <x v="3"/>
    <x v="1"/>
    <x v="2"/>
    <x v="2"/>
    <x v="3"/>
    <n v="4"/>
    <x v="2"/>
    <x v="2"/>
    <x v="3"/>
  </r>
  <r>
    <x v="4"/>
    <x v="3"/>
    <x v="3"/>
    <x v="0"/>
    <x v="4"/>
    <n v="12"/>
    <x v="0"/>
    <x v="3"/>
    <x v="4"/>
  </r>
  <r>
    <x v="5"/>
    <x v="4"/>
    <x v="3"/>
    <x v="3"/>
    <x v="5"/>
    <n v="8"/>
    <x v="3"/>
    <x v="4"/>
    <x v="5"/>
  </r>
  <r>
    <x v="6"/>
    <x v="5"/>
    <x v="0"/>
    <x v="2"/>
    <x v="6"/>
    <n v="12"/>
    <x v="4"/>
    <x v="4"/>
    <x v="6"/>
  </r>
  <r>
    <x v="7"/>
    <x v="6"/>
    <x v="1"/>
    <x v="3"/>
    <x v="7"/>
    <n v="6"/>
    <x v="0"/>
    <x v="5"/>
    <x v="7"/>
  </r>
  <r>
    <x v="8"/>
    <x v="7"/>
    <x v="4"/>
    <x v="0"/>
    <x v="8"/>
    <n v="11"/>
    <x v="4"/>
    <x v="5"/>
    <x v="8"/>
  </r>
  <r>
    <x v="9"/>
    <x v="8"/>
    <x v="4"/>
    <x v="1"/>
    <x v="9"/>
    <n v="2"/>
    <x v="4"/>
    <x v="5"/>
    <x v="9"/>
  </r>
  <r>
    <x v="10"/>
    <x v="9"/>
    <x v="0"/>
    <x v="4"/>
    <x v="10"/>
    <n v="6"/>
    <x v="4"/>
    <x v="6"/>
    <x v="10"/>
  </r>
  <r>
    <x v="10"/>
    <x v="8"/>
    <x v="4"/>
    <x v="0"/>
    <x v="11"/>
    <n v="14"/>
    <x v="2"/>
    <x v="7"/>
    <x v="11"/>
  </r>
  <r>
    <x v="5"/>
    <x v="4"/>
    <x v="4"/>
    <x v="0"/>
    <x v="12"/>
    <n v="14"/>
    <x v="4"/>
    <x v="8"/>
    <x v="12"/>
  </r>
  <r>
    <x v="11"/>
    <x v="1"/>
    <x v="0"/>
    <x v="3"/>
    <x v="13"/>
    <n v="7"/>
    <x v="4"/>
    <x v="8"/>
    <x v="13"/>
  </r>
  <r>
    <x v="12"/>
    <x v="10"/>
    <x v="3"/>
    <x v="3"/>
    <x v="14"/>
    <n v="15"/>
    <x v="2"/>
    <x v="9"/>
    <x v="14"/>
  </r>
  <r>
    <x v="3"/>
    <x v="11"/>
    <x v="2"/>
    <x v="2"/>
    <x v="15"/>
    <n v="14"/>
    <x v="0"/>
    <x v="10"/>
    <x v="15"/>
  </r>
  <r>
    <x v="13"/>
    <x v="1"/>
    <x v="2"/>
    <x v="0"/>
    <x v="16"/>
    <n v="10"/>
    <x v="2"/>
    <x v="11"/>
    <x v="16"/>
  </r>
  <r>
    <x v="6"/>
    <x v="12"/>
    <x v="0"/>
    <x v="0"/>
    <x v="17"/>
    <n v="4"/>
    <x v="0"/>
    <x v="11"/>
    <x v="17"/>
  </r>
  <r>
    <x v="14"/>
    <x v="13"/>
    <x v="0"/>
    <x v="0"/>
    <x v="18"/>
    <n v="13"/>
    <x v="0"/>
    <x v="12"/>
    <x v="18"/>
  </r>
  <r>
    <x v="7"/>
    <x v="6"/>
    <x v="4"/>
    <x v="2"/>
    <x v="19"/>
    <n v="4"/>
    <x v="1"/>
    <x v="13"/>
    <x v="19"/>
  </r>
  <r>
    <x v="5"/>
    <x v="14"/>
    <x v="2"/>
    <x v="1"/>
    <x v="20"/>
    <n v="11"/>
    <x v="1"/>
    <x v="14"/>
    <x v="20"/>
  </r>
  <r>
    <x v="15"/>
    <x v="1"/>
    <x v="3"/>
    <x v="2"/>
    <x v="21"/>
    <n v="14"/>
    <x v="2"/>
    <x v="15"/>
    <x v="21"/>
  </r>
  <r>
    <x v="0"/>
    <x v="6"/>
    <x v="0"/>
    <x v="0"/>
    <x v="22"/>
    <n v="9"/>
    <x v="1"/>
    <x v="15"/>
    <x v="22"/>
  </r>
  <r>
    <x v="11"/>
    <x v="6"/>
    <x v="4"/>
    <x v="2"/>
    <x v="23"/>
    <n v="6"/>
    <x v="1"/>
    <x v="15"/>
    <x v="23"/>
  </r>
  <r>
    <x v="1"/>
    <x v="6"/>
    <x v="4"/>
    <x v="4"/>
    <x v="24"/>
    <n v="8"/>
    <x v="3"/>
    <x v="16"/>
    <x v="24"/>
  </r>
  <r>
    <x v="9"/>
    <x v="15"/>
    <x v="2"/>
    <x v="2"/>
    <x v="25"/>
    <n v="18"/>
    <x v="1"/>
    <x v="16"/>
    <x v="25"/>
  </r>
  <r>
    <x v="4"/>
    <x v="16"/>
    <x v="3"/>
    <x v="3"/>
    <x v="26"/>
    <n v="17"/>
    <x v="1"/>
    <x v="17"/>
    <x v="26"/>
  </r>
  <r>
    <x v="5"/>
    <x v="1"/>
    <x v="4"/>
    <x v="0"/>
    <x v="27"/>
    <n v="2"/>
    <x v="4"/>
    <x v="18"/>
    <x v="27"/>
  </r>
  <r>
    <x v="16"/>
    <x v="17"/>
    <x v="1"/>
    <x v="4"/>
    <x v="28"/>
    <n v="19"/>
    <x v="3"/>
    <x v="19"/>
    <x v="28"/>
  </r>
  <r>
    <x v="16"/>
    <x v="3"/>
    <x v="2"/>
    <x v="2"/>
    <x v="29"/>
    <n v="3"/>
    <x v="0"/>
    <x v="19"/>
    <x v="29"/>
  </r>
  <r>
    <x v="17"/>
    <x v="18"/>
    <x v="3"/>
    <x v="2"/>
    <x v="30"/>
    <n v="5"/>
    <x v="3"/>
    <x v="20"/>
    <x v="30"/>
  </r>
  <r>
    <x v="15"/>
    <x v="19"/>
    <x v="4"/>
    <x v="0"/>
    <x v="31"/>
    <n v="18"/>
    <x v="4"/>
    <x v="21"/>
    <x v="31"/>
  </r>
  <r>
    <x v="6"/>
    <x v="13"/>
    <x v="0"/>
    <x v="3"/>
    <x v="32"/>
    <n v="5"/>
    <x v="2"/>
    <x v="21"/>
    <x v="32"/>
  </r>
  <r>
    <x v="18"/>
    <x v="11"/>
    <x v="2"/>
    <x v="2"/>
    <x v="33"/>
    <n v="10"/>
    <x v="3"/>
    <x v="22"/>
    <x v="33"/>
  </r>
  <r>
    <x v="19"/>
    <x v="17"/>
    <x v="3"/>
    <x v="4"/>
    <x v="34"/>
    <n v="14"/>
    <x v="4"/>
    <x v="22"/>
    <x v="34"/>
  </r>
  <r>
    <x v="1"/>
    <x v="4"/>
    <x v="0"/>
    <x v="0"/>
    <x v="35"/>
    <n v="12"/>
    <x v="0"/>
    <x v="22"/>
    <x v="35"/>
  </r>
  <r>
    <x v="0"/>
    <x v="18"/>
    <x v="1"/>
    <x v="4"/>
    <x v="36"/>
    <n v="9"/>
    <x v="4"/>
    <x v="22"/>
    <x v="36"/>
  </r>
  <r>
    <x v="16"/>
    <x v="14"/>
    <x v="4"/>
    <x v="3"/>
    <x v="37"/>
    <n v="11"/>
    <x v="4"/>
    <x v="23"/>
    <x v="37"/>
  </r>
  <r>
    <x v="13"/>
    <x v="20"/>
    <x v="4"/>
    <x v="3"/>
    <x v="38"/>
    <n v="13"/>
    <x v="2"/>
    <x v="23"/>
    <x v="38"/>
  </r>
  <r>
    <x v="20"/>
    <x v="21"/>
    <x v="1"/>
    <x v="0"/>
    <x v="39"/>
    <n v="19"/>
    <x v="2"/>
    <x v="24"/>
    <x v="39"/>
  </r>
  <r>
    <x v="3"/>
    <x v="10"/>
    <x v="2"/>
    <x v="0"/>
    <x v="40"/>
    <n v="15"/>
    <x v="3"/>
    <x v="25"/>
    <x v="40"/>
  </r>
  <r>
    <x v="16"/>
    <x v="3"/>
    <x v="4"/>
    <x v="4"/>
    <x v="41"/>
    <n v="5"/>
    <x v="0"/>
    <x v="26"/>
    <x v="41"/>
  </r>
  <r>
    <x v="11"/>
    <x v="19"/>
    <x v="1"/>
    <x v="4"/>
    <x v="42"/>
    <n v="11"/>
    <x v="2"/>
    <x v="26"/>
    <x v="42"/>
  </r>
  <r>
    <x v="18"/>
    <x v="3"/>
    <x v="4"/>
    <x v="0"/>
    <x v="43"/>
    <n v="19"/>
    <x v="3"/>
    <x v="27"/>
    <x v="43"/>
  </r>
  <r>
    <x v="7"/>
    <x v="21"/>
    <x v="3"/>
    <x v="3"/>
    <x v="44"/>
    <n v="12"/>
    <x v="2"/>
    <x v="27"/>
    <x v="44"/>
  </r>
  <r>
    <x v="2"/>
    <x v="22"/>
    <x v="4"/>
    <x v="2"/>
    <x v="45"/>
    <n v="2"/>
    <x v="1"/>
    <x v="28"/>
    <x v="45"/>
  </r>
  <r>
    <x v="17"/>
    <x v="19"/>
    <x v="4"/>
    <x v="4"/>
    <x v="46"/>
    <n v="8"/>
    <x v="2"/>
    <x v="28"/>
    <x v="46"/>
  </r>
  <r>
    <x v="21"/>
    <x v="6"/>
    <x v="3"/>
    <x v="4"/>
    <x v="47"/>
    <n v="12"/>
    <x v="1"/>
    <x v="29"/>
    <x v="47"/>
  </r>
  <r>
    <x v="18"/>
    <x v="4"/>
    <x v="1"/>
    <x v="3"/>
    <x v="48"/>
    <n v="19"/>
    <x v="0"/>
    <x v="30"/>
    <x v="48"/>
  </r>
  <r>
    <x v="13"/>
    <x v="16"/>
    <x v="2"/>
    <x v="2"/>
    <x v="49"/>
    <n v="6"/>
    <x v="3"/>
    <x v="31"/>
    <x v="49"/>
  </r>
  <r>
    <x v="5"/>
    <x v="7"/>
    <x v="2"/>
    <x v="2"/>
    <x v="50"/>
    <n v="6"/>
    <x v="4"/>
    <x v="32"/>
    <x v="50"/>
  </r>
  <r>
    <x v="19"/>
    <x v="3"/>
    <x v="2"/>
    <x v="1"/>
    <x v="51"/>
    <n v="7"/>
    <x v="3"/>
    <x v="33"/>
    <x v="51"/>
  </r>
  <r>
    <x v="4"/>
    <x v="23"/>
    <x v="2"/>
    <x v="3"/>
    <x v="52"/>
    <n v="2"/>
    <x v="1"/>
    <x v="34"/>
    <x v="52"/>
  </r>
  <r>
    <x v="22"/>
    <x v="14"/>
    <x v="0"/>
    <x v="0"/>
    <x v="53"/>
    <n v="18"/>
    <x v="3"/>
    <x v="35"/>
    <x v="53"/>
  </r>
  <r>
    <x v="8"/>
    <x v="9"/>
    <x v="3"/>
    <x v="2"/>
    <x v="54"/>
    <n v="15"/>
    <x v="2"/>
    <x v="36"/>
    <x v="54"/>
  </r>
  <r>
    <x v="3"/>
    <x v="1"/>
    <x v="2"/>
    <x v="3"/>
    <x v="55"/>
    <n v="10"/>
    <x v="0"/>
    <x v="36"/>
    <x v="55"/>
  </r>
  <r>
    <x v="4"/>
    <x v="24"/>
    <x v="4"/>
    <x v="0"/>
    <x v="56"/>
    <n v="11"/>
    <x v="1"/>
    <x v="37"/>
    <x v="56"/>
  </r>
  <r>
    <x v="12"/>
    <x v="23"/>
    <x v="3"/>
    <x v="2"/>
    <x v="57"/>
    <n v="1"/>
    <x v="0"/>
    <x v="38"/>
    <x v="57"/>
  </r>
  <r>
    <x v="23"/>
    <x v="9"/>
    <x v="3"/>
    <x v="0"/>
    <x v="58"/>
    <n v="2"/>
    <x v="3"/>
    <x v="39"/>
    <x v="58"/>
  </r>
  <r>
    <x v="1"/>
    <x v="20"/>
    <x v="0"/>
    <x v="1"/>
    <x v="59"/>
    <n v="17"/>
    <x v="1"/>
    <x v="39"/>
    <x v="59"/>
  </r>
  <r>
    <x v="18"/>
    <x v="6"/>
    <x v="1"/>
    <x v="0"/>
    <x v="60"/>
    <n v="8"/>
    <x v="3"/>
    <x v="40"/>
    <x v="60"/>
  </r>
  <r>
    <x v="9"/>
    <x v="18"/>
    <x v="4"/>
    <x v="4"/>
    <x v="61"/>
    <n v="9"/>
    <x v="1"/>
    <x v="41"/>
    <x v="61"/>
  </r>
  <r>
    <x v="7"/>
    <x v="6"/>
    <x v="1"/>
    <x v="3"/>
    <x v="62"/>
    <n v="17"/>
    <x v="3"/>
    <x v="42"/>
    <x v="62"/>
  </r>
  <r>
    <x v="23"/>
    <x v="0"/>
    <x v="0"/>
    <x v="2"/>
    <x v="63"/>
    <n v="17"/>
    <x v="0"/>
    <x v="42"/>
    <x v="63"/>
  </r>
  <r>
    <x v="12"/>
    <x v="21"/>
    <x v="2"/>
    <x v="2"/>
    <x v="64"/>
    <n v="5"/>
    <x v="4"/>
    <x v="43"/>
    <x v="64"/>
  </r>
  <r>
    <x v="23"/>
    <x v="3"/>
    <x v="3"/>
    <x v="3"/>
    <x v="65"/>
    <n v="15"/>
    <x v="2"/>
    <x v="44"/>
    <x v="65"/>
  </r>
  <r>
    <x v="22"/>
    <x v="6"/>
    <x v="2"/>
    <x v="0"/>
    <x v="66"/>
    <n v="12"/>
    <x v="4"/>
    <x v="45"/>
    <x v="66"/>
  </r>
  <r>
    <x v="24"/>
    <x v="18"/>
    <x v="0"/>
    <x v="3"/>
    <x v="67"/>
    <n v="5"/>
    <x v="4"/>
    <x v="45"/>
    <x v="67"/>
  </r>
  <r>
    <x v="18"/>
    <x v="13"/>
    <x v="3"/>
    <x v="2"/>
    <x v="68"/>
    <n v="11"/>
    <x v="4"/>
    <x v="46"/>
    <x v="68"/>
  </r>
  <r>
    <x v="13"/>
    <x v="0"/>
    <x v="4"/>
    <x v="4"/>
    <x v="69"/>
    <n v="1"/>
    <x v="4"/>
    <x v="47"/>
    <x v="69"/>
  </r>
  <r>
    <x v="4"/>
    <x v="18"/>
    <x v="4"/>
    <x v="2"/>
    <x v="70"/>
    <n v="1"/>
    <x v="4"/>
    <x v="48"/>
    <x v="70"/>
  </r>
  <r>
    <x v="24"/>
    <x v="25"/>
    <x v="2"/>
    <x v="4"/>
    <x v="71"/>
    <n v="19"/>
    <x v="1"/>
    <x v="49"/>
    <x v="71"/>
  </r>
  <r>
    <x v="25"/>
    <x v="18"/>
    <x v="1"/>
    <x v="2"/>
    <x v="72"/>
    <n v="10"/>
    <x v="2"/>
    <x v="50"/>
    <x v="72"/>
  </r>
  <r>
    <x v="1"/>
    <x v="26"/>
    <x v="2"/>
    <x v="0"/>
    <x v="73"/>
    <n v="5"/>
    <x v="0"/>
    <x v="50"/>
    <x v="73"/>
  </r>
  <r>
    <x v="25"/>
    <x v="9"/>
    <x v="0"/>
    <x v="2"/>
    <x v="74"/>
    <n v="13"/>
    <x v="0"/>
    <x v="51"/>
    <x v="74"/>
  </r>
  <r>
    <x v="1"/>
    <x v="5"/>
    <x v="0"/>
    <x v="2"/>
    <x v="75"/>
    <n v="5"/>
    <x v="2"/>
    <x v="52"/>
    <x v="75"/>
  </r>
  <r>
    <x v="3"/>
    <x v="17"/>
    <x v="4"/>
    <x v="3"/>
    <x v="76"/>
    <n v="3"/>
    <x v="1"/>
    <x v="53"/>
    <x v="76"/>
  </r>
  <r>
    <x v="26"/>
    <x v="12"/>
    <x v="3"/>
    <x v="3"/>
    <x v="77"/>
    <n v="7"/>
    <x v="4"/>
    <x v="54"/>
    <x v="77"/>
  </r>
  <r>
    <x v="7"/>
    <x v="5"/>
    <x v="0"/>
    <x v="4"/>
    <x v="78"/>
    <n v="1"/>
    <x v="1"/>
    <x v="55"/>
    <x v="78"/>
  </r>
  <r>
    <x v="4"/>
    <x v="6"/>
    <x v="1"/>
    <x v="1"/>
    <x v="79"/>
    <n v="18"/>
    <x v="3"/>
    <x v="56"/>
    <x v="79"/>
  </r>
  <r>
    <x v="5"/>
    <x v="18"/>
    <x v="3"/>
    <x v="0"/>
    <x v="80"/>
    <n v="19"/>
    <x v="1"/>
    <x v="57"/>
    <x v="80"/>
  </r>
  <r>
    <x v="24"/>
    <x v="7"/>
    <x v="1"/>
    <x v="3"/>
    <x v="81"/>
    <n v="17"/>
    <x v="1"/>
    <x v="57"/>
    <x v="81"/>
  </r>
  <r>
    <x v="16"/>
    <x v="15"/>
    <x v="4"/>
    <x v="2"/>
    <x v="82"/>
    <n v="7"/>
    <x v="3"/>
    <x v="58"/>
    <x v="82"/>
  </r>
  <r>
    <x v="3"/>
    <x v="14"/>
    <x v="4"/>
    <x v="0"/>
    <x v="83"/>
    <n v="7"/>
    <x v="4"/>
    <x v="58"/>
    <x v="83"/>
  </r>
  <r>
    <x v="19"/>
    <x v="8"/>
    <x v="0"/>
    <x v="1"/>
    <x v="84"/>
    <n v="4"/>
    <x v="3"/>
    <x v="59"/>
    <x v="84"/>
  </r>
  <r>
    <x v="23"/>
    <x v="0"/>
    <x v="2"/>
    <x v="2"/>
    <x v="85"/>
    <n v="17"/>
    <x v="1"/>
    <x v="59"/>
    <x v="85"/>
  </r>
  <r>
    <x v="11"/>
    <x v="18"/>
    <x v="1"/>
    <x v="3"/>
    <x v="86"/>
    <n v="9"/>
    <x v="1"/>
    <x v="60"/>
    <x v="86"/>
  </r>
  <r>
    <x v="26"/>
    <x v="23"/>
    <x v="0"/>
    <x v="4"/>
    <x v="87"/>
    <n v="19"/>
    <x v="1"/>
    <x v="61"/>
    <x v="87"/>
  </r>
  <r>
    <x v="11"/>
    <x v="3"/>
    <x v="1"/>
    <x v="4"/>
    <x v="88"/>
    <n v="11"/>
    <x v="2"/>
    <x v="62"/>
    <x v="88"/>
  </r>
  <r>
    <x v="15"/>
    <x v="15"/>
    <x v="2"/>
    <x v="0"/>
    <x v="89"/>
    <n v="16"/>
    <x v="4"/>
    <x v="62"/>
    <x v="89"/>
  </r>
  <r>
    <x v="5"/>
    <x v="24"/>
    <x v="0"/>
    <x v="3"/>
    <x v="90"/>
    <n v="4"/>
    <x v="3"/>
    <x v="63"/>
    <x v="90"/>
  </r>
  <r>
    <x v="27"/>
    <x v="1"/>
    <x v="2"/>
    <x v="3"/>
    <x v="91"/>
    <n v="1"/>
    <x v="3"/>
    <x v="64"/>
    <x v="91"/>
  </r>
  <r>
    <x v="28"/>
    <x v="9"/>
    <x v="1"/>
    <x v="4"/>
    <x v="92"/>
    <n v="13"/>
    <x v="2"/>
    <x v="64"/>
    <x v="92"/>
  </r>
  <r>
    <x v="23"/>
    <x v="3"/>
    <x v="0"/>
    <x v="2"/>
    <x v="93"/>
    <n v="19"/>
    <x v="0"/>
    <x v="65"/>
    <x v="93"/>
  </r>
  <r>
    <x v="29"/>
    <x v="13"/>
    <x v="2"/>
    <x v="0"/>
    <x v="94"/>
    <n v="2"/>
    <x v="2"/>
    <x v="66"/>
    <x v="94"/>
  </r>
  <r>
    <x v="24"/>
    <x v="2"/>
    <x v="2"/>
    <x v="0"/>
    <x v="95"/>
    <n v="6"/>
    <x v="1"/>
    <x v="67"/>
    <x v="95"/>
  </r>
  <r>
    <x v="12"/>
    <x v="21"/>
    <x v="0"/>
    <x v="3"/>
    <x v="96"/>
    <n v="7"/>
    <x v="2"/>
    <x v="68"/>
    <x v="96"/>
  </r>
  <r>
    <x v="18"/>
    <x v="3"/>
    <x v="3"/>
    <x v="1"/>
    <x v="97"/>
    <n v="11"/>
    <x v="3"/>
    <x v="68"/>
    <x v="97"/>
  </r>
  <r>
    <x v="2"/>
    <x v="23"/>
    <x v="0"/>
    <x v="4"/>
    <x v="98"/>
    <n v="10"/>
    <x v="0"/>
    <x v="69"/>
    <x v="98"/>
  </r>
  <r>
    <x v="23"/>
    <x v="3"/>
    <x v="4"/>
    <x v="1"/>
    <x v="99"/>
    <n v="12"/>
    <x v="1"/>
    <x v="69"/>
    <x v="99"/>
  </r>
  <r>
    <x v="28"/>
    <x v="9"/>
    <x v="3"/>
    <x v="0"/>
    <x v="100"/>
    <n v="17"/>
    <x v="3"/>
    <x v="70"/>
    <x v="100"/>
  </r>
  <r>
    <x v="20"/>
    <x v="4"/>
    <x v="3"/>
    <x v="1"/>
    <x v="101"/>
    <n v="8"/>
    <x v="3"/>
    <x v="70"/>
    <x v="101"/>
  </r>
  <r>
    <x v="13"/>
    <x v="19"/>
    <x v="4"/>
    <x v="2"/>
    <x v="102"/>
    <n v="13"/>
    <x v="0"/>
    <x v="71"/>
    <x v="102"/>
  </r>
  <r>
    <x v="1"/>
    <x v="14"/>
    <x v="3"/>
    <x v="2"/>
    <x v="103"/>
    <n v="17"/>
    <x v="1"/>
    <x v="72"/>
    <x v="103"/>
  </r>
  <r>
    <x v="17"/>
    <x v="13"/>
    <x v="1"/>
    <x v="3"/>
    <x v="104"/>
    <n v="8"/>
    <x v="1"/>
    <x v="73"/>
    <x v="104"/>
  </r>
  <r>
    <x v="10"/>
    <x v="23"/>
    <x v="2"/>
    <x v="0"/>
    <x v="105"/>
    <n v="8"/>
    <x v="0"/>
    <x v="74"/>
    <x v="105"/>
  </r>
  <r>
    <x v="13"/>
    <x v="3"/>
    <x v="1"/>
    <x v="0"/>
    <x v="106"/>
    <n v="19"/>
    <x v="2"/>
    <x v="74"/>
    <x v="106"/>
  </r>
  <r>
    <x v="19"/>
    <x v="3"/>
    <x v="0"/>
    <x v="1"/>
    <x v="107"/>
    <n v="9"/>
    <x v="0"/>
    <x v="75"/>
    <x v="107"/>
  </r>
  <r>
    <x v="17"/>
    <x v="24"/>
    <x v="4"/>
    <x v="1"/>
    <x v="108"/>
    <n v="14"/>
    <x v="3"/>
    <x v="76"/>
    <x v="108"/>
  </r>
  <r>
    <x v="0"/>
    <x v="7"/>
    <x v="4"/>
    <x v="1"/>
    <x v="109"/>
    <n v="7"/>
    <x v="2"/>
    <x v="76"/>
    <x v="109"/>
  </r>
  <r>
    <x v="25"/>
    <x v="24"/>
    <x v="1"/>
    <x v="0"/>
    <x v="110"/>
    <n v="16"/>
    <x v="3"/>
    <x v="77"/>
    <x v="110"/>
  </r>
  <r>
    <x v="28"/>
    <x v="3"/>
    <x v="0"/>
    <x v="1"/>
    <x v="111"/>
    <n v="17"/>
    <x v="3"/>
    <x v="78"/>
    <x v="111"/>
  </r>
  <r>
    <x v="14"/>
    <x v="26"/>
    <x v="0"/>
    <x v="3"/>
    <x v="112"/>
    <n v="1"/>
    <x v="2"/>
    <x v="78"/>
    <x v="112"/>
  </r>
  <r>
    <x v="8"/>
    <x v="9"/>
    <x v="2"/>
    <x v="2"/>
    <x v="113"/>
    <n v="1"/>
    <x v="1"/>
    <x v="79"/>
    <x v="113"/>
  </r>
  <r>
    <x v="23"/>
    <x v="25"/>
    <x v="3"/>
    <x v="1"/>
    <x v="114"/>
    <n v="1"/>
    <x v="0"/>
    <x v="80"/>
    <x v="114"/>
  </r>
  <r>
    <x v="1"/>
    <x v="18"/>
    <x v="0"/>
    <x v="2"/>
    <x v="115"/>
    <n v="15"/>
    <x v="1"/>
    <x v="81"/>
    <x v="115"/>
  </r>
  <r>
    <x v="27"/>
    <x v="5"/>
    <x v="4"/>
    <x v="0"/>
    <x v="116"/>
    <n v="4"/>
    <x v="4"/>
    <x v="82"/>
    <x v="116"/>
  </r>
  <r>
    <x v="13"/>
    <x v="3"/>
    <x v="1"/>
    <x v="4"/>
    <x v="117"/>
    <n v="14"/>
    <x v="4"/>
    <x v="83"/>
    <x v="117"/>
  </r>
  <r>
    <x v="17"/>
    <x v="14"/>
    <x v="1"/>
    <x v="0"/>
    <x v="118"/>
    <n v="2"/>
    <x v="2"/>
    <x v="84"/>
    <x v="118"/>
  </r>
  <r>
    <x v="7"/>
    <x v="20"/>
    <x v="3"/>
    <x v="3"/>
    <x v="119"/>
    <n v="4"/>
    <x v="4"/>
    <x v="84"/>
    <x v="119"/>
  </r>
  <r>
    <x v="6"/>
    <x v="12"/>
    <x v="3"/>
    <x v="3"/>
    <x v="120"/>
    <n v="3"/>
    <x v="4"/>
    <x v="85"/>
    <x v="120"/>
  </r>
  <r>
    <x v="16"/>
    <x v="15"/>
    <x v="2"/>
    <x v="1"/>
    <x v="121"/>
    <n v="5"/>
    <x v="1"/>
    <x v="86"/>
    <x v="121"/>
  </r>
  <r>
    <x v="17"/>
    <x v="12"/>
    <x v="1"/>
    <x v="4"/>
    <x v="122"/>
    <n v="10"/>
    <x v="3"/>
    <x v="87"/>
    <x v="122"/>
  </r>
  <r>
    <x v="0"/>
    <x v="2"/>
    <x v="2"/>
    <x v="2"/>
    <x v="123"/>
    <n v="14"/>
    <x v="1"/>
    <x v="88"/>
    <x v="123"/>
  </r>
  <r>
    <x v="26"/>
    <x v="2"/>
    <x v="4"/>
    <x v="1"/>
    <x v="124"/>
    <n v="18"/>
    <x v="0"/>
    <x v="88"/>
    <x v="124"/>
  </r>
  <r>
    <x v="25"/>
    <x v="3"/>
    <x v="3"/>
    <x v="2"/>
    <x v="125"/>
    <n v="1"/>
    <x v="2"/>
    <x v="88"/>
    <x v="125"/>
  </r>
  <r>
    <x v="22"/>
    <x v="15"/>
    <x v="1"/>
    <x v="2"/>
    <x v="126"/>
    <n v="15"/>
    <x v="1"/>
    <x v="89"/>
    <x v="126"/>
  </r>
  <r>
    <x v="8"/>
    <x v="21"/>
    <x v="2"/>
    <x v="3"/>
    <x v="127"/>
    <n v="10"/>
    <x v="1"/>
    <x v="89"/>
    <x v="127"/>
  </r>
  <r>
    <x v="12"/>
    <x v="12"/>
    <x v="1"/>
    <x v="2"/>
    <x v="128"/>
    <n v="4"/>
    <x v="2"/>
    <x v="89"/>
    <x v="128"/>
  </r>
  <r>
    <x v="28"/>
    <x v="3"/>
    <x v="0"/>
    <x v="2"/>
    <x v="129"/>
    <n v="19"/>
    <x v="1"/>
    <x v="90"/>
    <x v="129"/>
  </r>
  <r>
    <x v="21"/>
    <x v="21"/>
    <x v="1"/>
    <x v="0"/>
    <x v="130"/>
    <n v="5"/>
    <x v="4"/>
    <x v="90"/>
    <x v="130"/>
  </r>
  <r>
    <x v="18"/>
    <x v="9"/>
    <x v="4"/>
    <x v="0"/>
    <x v="131"/>
    <n v="8"/>
    <x v="4"/>
    <x v="91"/>
    <x v="131"/>
  </r>
  <r>
    <x v="10"/>
    <x v="26"/>
    <x v="2"/>
    <x v="3"/>
    <x v="132"/>
    <n v="8"/>
    <x v="3"/>
    <x v="91"/>
    <x v="132"/>
  </r>
  <r>
    <x v="29"/>
    <x v="12"/>
    <x v="2"/>
    <x v="2"/>
    <x v="133"/>
    <n v="1"/>
    <x v="1"/>
    <x v="92"/>
    <x v="133"/>
  </r>
  <r>
    <x v="6"/>
    <x v="11"/>
    <x v="0"/>
    <x v="2"/>
    <x v="134"/>
    <n v="19"/>
    <x v="0"/>
    <x v="93"/>
    <x v="134"/>
  </r>
  <r>
    <x v="5"/>
    <x v="9"/>
    <x v="3"/>
    <x v="4"/>
    <x v="135"/>
    <n v="3"/>
    <x v="4"/>
    <x v="94"/>
    <x v="135"/>
  </r>
  <r>
    <x v="19"/>
    <x v="26"/>
    <x v="0"/>
    <x v="3"/>
    <x v="136"/>
    <n v="4"/>
    <x v="0"/>
    <x v="95"/>
    <x v="136"/>
  </r>
  <r>
    <x v="19"/>
    <x v="9"/>
    <x v="4"/>
    <x v="2"/>
    <x v="137"/>
    <n v="8"/>
    <x v="4"/>
    <x v="96"/>
    <x v="137"/>
  </r>
  <r>
    <x v="22"/>
    <x v="21"/>
    <x v="2"/>
    <x v="3"/>
    <x v="138"/>
    <n v="19"/>
    <x v="4"/>
    <x v="97"/>
    <x v="138"/>
  </r>
  <r>
    <x v="6"/>
    <x v="4"/>
    <x v="4"/>
    <x v="3"/>
    <x v="139"/>
    <n v="16"/>
    <x v="2"/>
    <x v="98"/>
    <x v="139"/>
  </r>
  <r>
    <x v="28"/>
    <x v="5"/>
    <x v="4"/>
    <x v="2"/>
    <x v="140"/>
    <n v="10"/>
    <x v="2"/>
    <x v="98"/>
    <x v="140"/>
  </r>
  <r>
    <x v="7"/>
    <x v="24"/>
    <x v="1"/>
    <x v="0"/>
    <x v="141"/>
    <n v="9"/>
    <x v="1"/>
    <x v="99"/>
    <x v="141"/>
  </r>
  <r>
    <x v="7"/>
    <x v="11"/>
    <x v="0"/>
    <x v="2"/>
    <x v="142"/>
    <n v="19"/>
    <x v="0"/>
    <x v="100"/>
    <x v="142"/>
  </r>
  <r>
    <x v="15"/>
    <x v="12"/>
    <x v="4"/>
    <x v="4"/>
    <x v="143"/>
    <n v="16"/>
    <x v="4"/>
    <x v="101"/>
    <x v="143"/>
  </r>
  <r>
    <x v="26"/>
    <x v="6"/>
    <x v="3"/>
    <x v="1"/>
    <x v="144"/>
    <n v="6"/>
    <x v="2"/>
    <x v="102"/>
    <x v="144"/>
  </r>
  <r>
    <x v="6"/>
    <x v="26"/>
    <x v="3"/>
    <x v="1"/>
    <x v="145"/>
    <n v="13"/>
    <x v="0"/>
    <x v="102"/>
    <x v="145"/>
  </r>
  <r>
    <x v="15"/>
    <x v="3"/>
    <x v="0"/>
    <x v="0"/>
    <x v="146"/>
    <n v="14"/>
    <x v="3"/>
    <x v="103"/>
    <x v="146"/>
  </r>
  <r>
    <x v="21"/>
    <x v="25"/>
    <x v="4"/>
    <x v="1"/>
    <x v="147"/>
    <n v="11"/>
    <x v="4"/>
    <x v="104"/>
    <x v="147"/>
  </r>
  <r>
    <x v="16"/>
    <x v="14"/>
    <x v="3"/>
    <x v="4"/>
    <x v="148"/>
    <n v="1"/>
    <x v="0"/>
    <x v="104"/>
    <x v="148"/>
  </r>
  <r>
    <x v="21"/>
    <x v="5"/>
    <x v="3"/>
    <x v="0"/>
    <x v="149"/>
    <n v="18"/>
    <x v="3"/>
    <x v="105"/>
    <x v="149"/>
  </r>
  <r>
    <x v="16"/>
    <x v="3"/>
    <x v="4"/>
    <x v="4"/>
    <x v="150"/>
    <n v="10"/>
    <x v="3"/>
    <x v="106"/>
    <x v="150"/>
  </r>
  <r>
    <x v="20"/>
    <x v="2"/>
    <x v="2"/>
    <x v="1"/>
    <x v="151"/>
    <n v="5"/>
    <x v="4"/>
    <x v="106"/>
    <x v="151"/>
  </r>
  <r>
    <x v="9"/>
    <x v="5"/>
    <x v="0"/>
    <x v="3"/>
    <x v="152"/>
    <n v="18"/>
    <x v="4"/>
    <x v="107"/>
    <x v="152"/>
  </r>
  <r>
    <x v="27"/>
    <x v="20"/>
    <x v="3"/>
    <x v="1"/>
    <x v="153"/>
    <n v="19"/>
    <x v="4"/>
    <x v="108"/>
    <x v="153"/>
  </r>
  <r>
    <x v="19"/>
    <x v="1"/>
    <x v="2"/>
    <x v="3"/>
    <x v="154"/>
    <n v="11"/>
    <x v="3"/>
    <x v="109"/>
    <x v="154"/>
  </r>
  <r>
    <x v="19"/>
    <x v="3"/>
    <x v="3"/>
    <x v="2"/>
    <x v="155"/>
    <n v="5"/>
    <x v="0"/>
    <x v="110"/>
    <x v="155"/>
  </r>
  <r>
    <x v="19"/>
    <x v="8"/>
    <x v="0"/>
    <x v="1"/>
    <x v="156"/>
    <n v="9"/>
    <x v="4"/>
    <x v="111"/>
    <x v="156"/>
  </r>
  <r>
    <x v="13"/>
    <x v="12"/>
    <x v="4"/>
    <x v="1"/>
    <x v="157"/>
    <n v="2"/>
    <x v="3"/>
    <x v="112"/>
    <x v="157"/>
  </r>
  <r>
    <x v="13"/>
    <x v="6"/>
    <x v="4"/>
    <x v="4"/>
    <x v="158"/>
    <n v="7"/>
    <x v="1"/>
    <x v="112"/>
    <x v="158"/>
  </r>
  <r>
    <x v="11"/>
    <x v="2"/>
    <x v="2"/>
    <x v="1"/>
    <x v="159"/>
    <n v="6"/>
    <x v="0"/>
    <x v="112"/>
    <x v="159"/>
  </r>
  <r>
    <x v="25"/>
    <x v="17"/>
    <x v="3"/>
    <x v="1"/>
    <x v="160"/>
    <n v="12"/>
    <x v="0"/>
    <x v="113"/>
    <x v="160"/>
  </r>
  <r>
    <x v="29"/>
    <x v="14"/>
    <x v="3"/>
    <x v="0"/>
    <x v="161"/>
    <n v="11"/>
    <x v="0"/>
    <x v="114"/>
    <x v="161"/>
  </r>
  <r>
    <x v="4"/>
    <x v="11"/>
    <x v="0"/>
    <x v="1"/>
    <x v="162"/>
    <n v="17"/>
    <x v="3"/>
    <x v="115"/>
    <x v="162"/>
  </r>
  <r>
    <x v="4"/>
    <x v="6"/>
    <x v="1"/>
    <x v="1"/>
    <x v="163"/>
    <n v="5"/>
    <x v="0"/>
    <x v="116"/>
    <x v="163"/>
  </r>
  <r>
    <x v="19"/>
    <x v="12"/>
    <x v="1"/>
    <x v="0"/>
    <x v="164"/>
    <n v="9"/>
    <x v="3"/>
    <x v="117"/>
    <x v="164"/>
  </r>
  <r>
    <x v="22"/>
    <x v="14"/>
    <x v="0"/>
    <x v="4"/>
    <x v="165"/>
    <n v="7"/>
    <x v="3"/>
    <x v="118"/>
    <x v="165"/>
  </r>
  <r>
    <x v="25"/>
    <x v="5"/>
    <x v="4"/>
    <x v="1"/>
    <x v="166"/>
    <n v="16"/>
    <x v="3"/>
    <x v="119"/>
    <x v="166"/>
  </r>
  <r>
    <x v="26"/>
    <x v="0"/>
    <x v="1"/>
    <x v="4"/>
    <x v="167"/>
    <n v="6"/>
    <x v="3"/>
    <x v="120"/>
    <x v="167"/>
  </r>
  <r>
    <x v="26"/>
    <x v="6"/>
    <x v="2"/>
    <x v="4"/>
    <x v="168"/>
    <n v="19"/>
    <x v="3"/>
    <x v="121"/>
    <x v="168"/>
  </r>
  <r>
    <x v="16"/>
    <x v="3"/>
    <x v="0"/>
    <x v="2"/>
    <x v="169"/>
    <n v="14"/>
    <x v="0"/>
    <x v="122"/>
    <x v="169"/>
  </r>
  <r>
    <x v="1"/>
    <x v="12"/>
    <x v="3"/>
    <x v="1"/>
    <x v="170"/>
    <n v="4"/>
    <x v="1"/>
    <x v="123"/>
    <x v="170"/>
  </r>
  <r>
    <x v="7"/>
    <x v="18"/>
    <x v="0"/>
    <x v="2"/>
    <x v="171"/>
    <n v="3"/>
    <x v="1"/>
    <x v="124"/>
    <x v="171"/>
  </r>
  <r>
    <x v="8"/>
    <x v="6"/>
    <x v="3"/>
    <x v="0"/>
    <x v="172"/>
    <n v="2"/>
    <x v="0"/>
    <x v="125"/>
    <x v="172"/>
  </r>
  <r>
    <x v="23"/>
    <x v="11"/>
    <x v="2"/>
    <x v="0"/>
    <x v="173"/>
    <n v="15"/>
    <x v="0"/>
    <x v="126"/>
    <x v="173"/>
  </r>
  <r>
    <x v="22"/>
    <x v="13"/>
    <x v="4"/>
    <x v="4"/>
    <x v="174"/>
    <n v="12"/>
    <x v="0"/>
    <x v="126"/>
    <x v="174"/>
  </r>
  <r>
    <x v="27"/>
    <x v="17"/>
    <x v="4"/>
    <x v="0"/>
    <x v="175"/>
    <n v="2"/>
    <x v="2"/>
    <x v="127"/>
    <x v="175"/>
  </r>
  <r>
    <x v="29"/>
    <x v="6"/>
    <x v="4"/>
    <x v="1"/>
    <x v="176"/>
    <n v="18"/>
    <x v="0"/>
    <x v="128"/>
    <x v="176"/>
  </r>
  <r>
    <x v="2"/>
    <x v="6"/>
    <x v="4"/>
    <x v="1"/>
    <x v="177"/>
    <n v="8"/>
    <x v="3"/>
    <x v="129"/>
    <x v="177"/>
  </r>
  <r>
    <x v="26"/>
    <x v="5"/>
    <x v="1"/>
    <x v="0"/>
    <x v="178"/>
    <n v="6"/>
    <x v="1"/>
    <x v="130"/>
    <x v="178"/>
  </r>
  <r>
    <x v="16"/>
    <x v="23"/>
    <x v="3"/>
    <x v="0"/>
    <x v="179"/>
    <n v="8"/>
    <x v="3"/>
    <x v="131"/>
    <x v="179"/>
  </r>
  <r>
    <x v="16"/>
    <x v="20"/>
    <x v="3"/>
    <x v="0"/>
    <x v="180"/>
    <n v="15"/>
    <x v="0"/>
    <x v="132"/>
    <x v="180"/>
  </r>
  <r>
    <x v="10"/>
    <x v="9"/>
    <x v="2"/>
    <x v="0"/>
    <x v="181"/>
    <n v="18"/>
    <x v="4"/>
    <x v="133"/>
    <x v="181"/>
  </r>
  <r>
    <x v="23"/>
    <x v="9"/>
    <x v="1"/>
    <x v="4"/>
    <x v="182"/>
    <n v="18"/>
    <x v="4"/>
    <x v="134"/>
    <x v="182"/>
  </r>
  <r>
    <x v="12"/>
    <x v="18"/>
    <x v="0"/>
    <x v="1"/>
    <x v="183"/>
    <n v="2"/>
    <x v="4"/>
    <x v="135"/>
    <x v="183"/>
  </r>
  <r>
    <x v="18"/>
    <x v="18"/>
    <x v="0"/>
    <x v="3"/>
    <x v="184"/>
    <n v="14"/>
    <x v="0"/>
    <x v="136"/>
    <x v="184"/>
  </r>
  <r>
    <x v="5"/>
    <x v="18"/>
    <x v="0"/>
    <x v="1"/>
    <x v="185"/>
    <n v="18"/>
    <x v="1"/>
    <x v="137"/>
    <x v="185"/>
  </r>
  <r>
    <x v="8"/>
    <x v="17"/>
    <x v="2"/>
    <x v="1"/>
    <x v="186"/>
    <n v="9"/>
    <x v="3"/>
    <x v="138"/>
    <x v="186"/>
  </r>
  <r>
    <x v="11"/>
    <x v="20"/>
    <x v="2"/>
    <x v="1"/>
    <x v="187"/>
    <n v="1"/>
    <x v="1"/>
    <x v="139"/>
    <x v="187"/>
  </r>
  <r>
    <x v="12"/>
    <x v="4"/>
    <x v="3"/>
    <x v="2"/>
    <x v="188"/>
    <n v="15"/>
    <x v="0"/>
    <x v="140"/>
    <x v="188"/>
  </r>
  <r>
    <x v="8"/>
    <x v="4"/>
    <x v="2"/>
    <x v="3"/>
    <x v="189"/>
    <n v="11"/>
    <x v="0"/>
    <x v="141"/>
    <x v="189"/>
  </r>
  <r>
    <x v="5"/>
    <x v="0"/>
    <x v="2"/>
    <x v="1"/>
    <x v="190"/>
    <n v="9"/>
    <x v="1"/>
    <x v="142"/>
    <x v="190"/>
  </r>
  <r>
    <x v="4"/>
    <x v="17"/>
    <x v="3"/>
    <x v="0"/>
    <x v="191"/>
    <n v="10"/>
    <x v="2"/>
    <x v="142"/>
    <x v="191"/>
  </r>
  <r>
    <x v="29"/>
    <x v="26"/>
    <x v="4"/>
    <x v="1"/>
    <x v="192"/>
    <n v="14"/>
    <x v="4"/>
    <x v="143"/>
    <x v="192"/>
  </r>
  <r>
    <x v="13"/>
    <x v="21"/>
    <x v="1"/>
    <x v="3"/>
    <x v="193"/>
    <n v="17"/>
    <x v="3"/>
    <x v="143"/>
    <x v="193"/>
  </r>
  <r>
    <x v="10"/>
    <x v="11"/>
    <x v="0"/>
    <x v="1"/>
    <x v="194"/>
    <n v="8"/>
    <x v="2"/>
    <x v="144"/>
    <x v="194"/>
  </r>
  <r>
    <x v="25"/>
    <x v="8"/>
    <x v="4"/>
    <x v="1"/>
    <x v="195"/>
    <n v="8"/>
    <x v="0"/>
    <x v="144"/>
    <x v="195"/>
  </r>
  <r>
    <x v="16"/>
    <x v="1"/>
    <x v="2"/>
    <x v="4"/>
    <x v="196"/>
    <n v="3"/>
    <x v="1"/>
    <x v="145"/>
    <x v="196"/>
  </r>
  <r>
    <x v="19"/>
    <x v="11"/>
    <x v="0"/>
    <x v="4"/>
    <x v="197"/>
    <n v="17"/>
    <x v="1"/>
    <x v="146"/>
    <x v="197"/>
  </r>
  <r>
    <x v="9"/>
    <x v="8"/>
    <x v="1"/>
    <x v="0"/>
    <x v="198"/>
    <n v="8"/>
    <x v="4"/>
    <x v="146"/>
    <x v="198"/>
  </r>
  <r>
    <x v="20"/>
    <x v="8"/>
    <x v="2"/>
    <x v="1"/>
    <x v="199"/>
    <n v="2"/>
    <x v="4"/>
    <x v="147"/>
    <x v="1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s v="West"/>
    <s v="Books"/>
    <n v="1036.0899999999999"/>
    <n v="4"/>
    <n v="0.2"/>
    <x v="0"/>
    <n v="331.55"/>
    <s v="High Discount"/>
    <d v="2026-02-27T19:38:54"/>
    <x v="0"/>
  </r>
  <r>
    <s v="CUST012"/>
    <s v="Robert Anderson"/>
    <s v="West"/>
    <s v="Clothing"/>
    <n v="1101.28"/>
    <n v="3"/>
    <n v="0.2"/>
    <x v="1"/>
    <n v="440.51"/>
    <s v="High Discount"/>
    <d v="2026-02-27T19:38:54"/>
    <x v="0"/>
  </r>
  <r>
    <s v="CUST017"/>
    <s v="James Taylor"/>
    <s v="East"/>
    <s v="Books"/>
    <n v="713.34"/>
    <n v="17"/>
    <n v="0"/>
    <x v="2"/>
    <n v="285.33999999999997"/>
    <s v="No Discount"/>
    <d v="2026-02-27T19:38:54"/>
    <x v="1"/>
  </r>
  <r>
    <s v="CUST005"/>
    <s v="Robert Anderson"/>
    <s v="South"/>
    <s v="Electronics"/>
    <n v="760.93"/>
    <n v="4"/>
    <n v="0.15"/>
    <x v="2"/>
    <n v="161.69999999999999"/>
    <s v="Medium Discount"/>
    <d v="2026-02-27T19:38:54"/>
    <x v="1"/>
  </r>
  <r>
    <s v="CUST030"/>
    <s v="James Wilson"/>
    <s v="North"/>
    <s v="Books"/>
    <n v="847"/>
    <n v="12"/>
    <n v="0.2"/>
    <x v="3"/>
    <n v="271.04000000000002"/>
    <s v="High Discount"/>
    <d v="2026-02-27T19:38:54"/>
    <x v="1"/>
  </r>
  <r>
    <s v="CUST007"/>
    <s v="Michael Anderson"/>
    <s v="North"/>
    <s v="Furniture"/>
    <n v="965.64"/>
    <n v="8"/>
    <n v="0.1"/>
    <x v="4"/>
    <n v="304.18"/>
    <s v="Low Discount"/>
    <d v="2026-02-27T19:38:54"/>
    <x v="1"/>
  </r>
  <r>
    <s v="CUST001"/>
    <s v="Linda Wilson"/>
    <s v="West"/>
    <s v="Electronics"/>
    <n v="1317.53"/>
    <n v="12"/>
    <n v="0.05"/>
    <x v="4"/>
    <n v="312.91000000000003"/>
    <s v="Low Discount"/>
    <d v="2026-02-27T19:38:54"/>
    <x v="0"/>
  </r>
  <r>
    <s v="CUST026"/>
    <s v="Mary Davis"/>
    <s v="East"/>
    <s v="Furniture"/>
    <n v="1074.47"/>
    <n v="6"/>
    <n v="0.2"/>
    <x v="5"/>
    <n v="300.85000000000002"/>
    <s v="High Discount"/>
    <d v="2026-02-27T19:38:54"/>
    <x v="0"/>
  </r>
  <r>
    <s v="CUST009"/>
    <s v="Linda Jackson"/>
    <s v="Central"/>
    <s v="Books"/>
    <n v="501.54"/>
    <n v="11"/>
    <n v="0.05"/>
    <x v="5"/>
    <n v="190.59"/>
    <s v="Low Discount"/>
    <d v="2026-02-27T19:38:54"/>
    <x v="1"/>
  </r>
  <r>
    <s v="CUST010"/>
    <s v="David Thomas"/>
    <s v="Central"/>
    <s v="Clothing"/>
    <n v="737.31"/>
    <n v="2"/>
    <n v="0.05"/>
    <x v="5"/>
    <n v="350.22"/>
    <s v="Low Discount"/>
    <d v="2026-02-27T19:38:54"/>
    <x v="1"/>
  </r>
  <r>
    <s v="CUST014"/>
    <s v="Emma Davis"/>
    <s v="West"/>
    <s v="Office Supplies"/>
    <n v="1572.82"/>
    <n v="6"/>
    <n v="0.05"/>
    <x v="6"/>
    <n v="672.38"/>
    <s v="Low Discount"/>
    <d v="2026-02-27T19:38:54"/>
    <x v="0"/>
  </r>
  <r>
    <s v="CUST014"/>
    <s v="David Thomas"/>
    <s v="Central"/>
    <s v="Books"/>
    <n v="1343.13"/>
    <n v="14"/>
    <n v="0.15"/>
    <x v="7"/>
    <n v="456.66"/>
    <s v="Medium Discount"/>
    <d v="2026-02-27T19:38:54"/>
    <x v="0"/>
  </r>
  <r>
    <s v="CUST007"/>
    <s v="Michael Anderson"/>
    <s v="Central"/>
    <s v="Books"/>
    <n v="1191.58"/>
    <n v="14"/>
    <n v="0.05"/>
    <x v="8"/>
    <n v="452.8"/>
    <s v="Low Discount"/>
    <d v="2026-02-27T19:38:54"/>
    <x v="0"/>
  </r>
  <r>
    <s v="CUST023"/>
    <s v="Robert Anderson"/>
    <s v="West"/>
    <s v="Furniture"/>
    <n v="822.28"/>
    <n v="7"/>
    <n v="0.05"/>
    <x v="8"/>
    <n v="273.41000000000003"/>
    <s v="Low Discount"/>
    <d v="2026-02-27T19:38:54"/>
    <x v="1"/>
  </r>
  <r>
    <s v="CUST029"/>
    <s v="David Smith"/>
    <s v="North"/>
    <s v="Furniture"/>
    <n v="521.66999999999996"/>
    <n v="15"/>
    <n v="0.15"/>
    <x v="9"/>
    <n v="155.19999999999999"/>
    <s v="Medium Discount"/>
    <d v="2026-02-27T19:38:54"/>
    <x v="1"/>
  </r>
  <r>
    <s v="CUST005"/>
    <s v="Sarah Anderson"/>
    <s v="South"/>
    <s v="Electronics"/>
    <n v="1502.93"/>
    <n v="14"/>
    <n v="0.2"/>
    <x v="10"/>
    <n v="300.58999999999997"/>
    <s v="High Discount"/>
    <d v="2026-02-27T19:38:54"/>
    <x v="0"/>
  </r>
  <r>
    <s v="CUST008"/>
    <s v="Robert Anderson"/>
    <s v="South"/>
    <s v="Books"/>
    <n v="877.58"/>
    <n v="10"/>
    <n v="0.15"/>
    <x v="11"/>
    <n v="298.38"/>
    <s v="Medium Discount"/>
    <d v="2026-02-27T19:38:54"/>
    <x v="1"/>
  </r>
  <r>
    <s v="CUST001"/>
    <s v="Lisa Thomas"/>
    <s v="West"/>
    <s v="Books"/>
    <n v="636.70000000000005"/>
    <n v="4"/>
    <n v="0.2"/>
    <x v="11"/>
    <n v="203.74"/>
    <s v="High Discount"/>
    <d v="2026-02-27T19:38:54"/>
    <x v="1"/>
  </r>
  <r>
    <s v="CUST006"/>
    <s v="Mary Jackson"/>
    <s v="West"/>
    <s v="Books"/>
    <n v="1506.14"/>
    <n v="13"/>
    <n v="0.2"/>
    <x v="12"/>
    <n v="481.96"/>
    <s v="High Discount"/>
    <d v="2026-02-27T19:38:54"/>
    <x v="0"/>
  </r>
  <r>
    <s v="CUST026"/>
    <s v="Mary Davis"/>
    <s v="Central"/>
    <s v="Electronics"/>
    <n v="645.02"/>
    <n v="4"/>
    <n v="0"/>
    <x v="13"/>
    <n v="161.26"/>
    <s v="No Discount"/>
    <d v="2026-02-27T19:38:54"/>
    <x v="1"/>
  </r>
  <r>
    <s v="CUST007"/>
    <s v="Lisa Davis"/>
    <s v="South"/>
    <s v="Clothing"/>
    <n v="953.3"/>
    <n v="11"/>
    <n v="0"/>
    <x v="14"/>
    <n v="476.65"/>
    <s v="No Discount"/>
    <d v="2026-02-27T19:38:54"/>
    <x v="1"/>
  </r>
  <r>
    <s v="CUST022"/>
    <s v="Robert Anderson"/>
    <s v="North"/>
    <s v="Electronics"/>
    <n v="388.56"/>
    <n v="14"/>
    <n v="0.15"/>
    <x v="15"/>
    <n v="82.57"/>
    <s v="Medium Discount"/>
    <d v="2026-02-27T19:38:54"/>
    <x v="1"/>
  </r>
  <r>
    <s v="CUST019"/>
    <s v="Mary Davis"/>
    <s v="West"/>
    <s v="Books"/>
    <n v="743.17"/>
    <n v="9"/>
    <n v="0"/>
    <x v="15"/>
    <n v="297.27"/>
    <s v="No Discount"/>
    <d v="2026-02-27T19:38:54"/>
    <x v="1"/>
  </r>
  <r>
    <s v="CUST023"/>
    <s v="Mary Davis"/>
    <s v="Central"/>
    <s v="Electronics"/>
    <n v="706.37"/>
    <n v="6"/>
    <n v="0"/>
    <x v="15"/>
    <n v="176.59"/>
    <s v="No Discount"/>
    <d v="2026-02-27T19:38:54"/>
    <x v="1"/>
  </r>
  <r>
    <s v="CUST012"/>
    <s v="Mary Davis"/>
    <s v="Central"/>
    <s v="Office Supplies"/>
    <n v="925.31"/>
    <n v="8"/>
    <n v="0.1"/>
    <x v="16"/>
    <n v="374.75"/>
    <s v="Low Discount"/>
    <d v="2026-02-27T19:38:54"/>
    <x v="1"/>
  </r>
  <r>
    <s v="CUST010"/>
    <s v="Linda Brown"/>
    <s v="South"/>
    <s v="Electronics"/>
    <n v="1173.1199999999999"/>
    <n v="18"/>
    <n v="0"/>
    <x v="16"/>
    <n v="293.27999999999997"/>
    <s v="No Discount"/>
    <d v="2026-02-27T19:38:54"/>
    <x v="0"/>
  </r>
  <r>
    <s v="CUST030"/>
    <s v="John Brown"/>
    <s v="North"/>
    <s v="Furniture"/>
    <n v="675.54"/>
    <n v="17"/>
    <n v="0"/>
    <x v="17"/>
    <n v="236.44"/>
    <s v="No Discount"/>
    <d v="2026-02-27T19:38:54"/>
    <x v="1"/>
  </r>
  <r>
    <s v="CUST007"/>
    <s v="Robert Anderson"/>
    <s v="Central"/>
    <s v="Books"/>
    <n v="939.09"/>
    <n v="2"/>
    <n v="0.05"/>
    <x v="18"/>
    <n v="356.85"/>
    <s v="Low Discount"/>
    <d v="2026-02-27T19:38:54"/>
    <x v="1"/>
  </r>
  <r>
    <s v="CUST028"/>
    <s v="Linda Taylor"/>
    <s v="East"/>
    <s v="Office Supplies"/>
    <n v="983.34"/>
    <n v="19"/>
    <n v="0.1"/>
    <x v="19"/>
    <n v="398.25"/>
    <s v="Low Discount"/>
    <d v="2026-02-27T19:38:54"/>
    <x v="1"/>
  </r>
  <r>
    <s v="CUST028"/>
    <s v="James Wilson"/>
    <s v="South"/>
    <s v="Electronics"/>
    <n v="801.21"/>
    <n v="3"/>
    <n v="0.2"/>
    <x v="19"/>
    <n v="160.24"/>
    <s v="High Discount"/>
    <d v="2026-02-27T19:38:54"/>
    <x v="1"/>
  </r>
  <r>
    <s v="CUST025"/>
    <s v="David Brown"/>
    <s v="North"/>
    <s v="Electronics"/>
    <n v="1450.71"/>
    <n v="5"/>
    <n v="0.1"/>
    <x v="20"/>
    <n v="326.41000000000003"/>
    <s v="Low Discount"/>
    <d v="2026-02-27T19:38:54"/>
    <x v="0"/>
  </r>
  <r>
    <s v="CUST022"/>
    <s v="David Davis"/>
    <s v="Central"/>
    <s v="Books"/>
    <n v="1023.21"/>
    <n v="18"/>
    <n v="0.05"/>
    <x v="21"/>
    <n v="388.82"/>
    <s v="Low Discount"/>
    <d v="2026-02-27T19:38:54"/>
    <x v="0"/>
  </r>
  <r>
    <s v="CUST001"/>
    <s v="Mary Jackson"/>
    <s v="West"/>
    <s v="Furniture"/>
    <n v="853.72"/>
    <n v="5"/>
    <n v="0.15"/>
    <x v="21"/>
    <n v="253.98"/>
    <s v="Medium Discount"/>
    <d v="2026-02-27T19:38:54"/>
    <x v="1"/>
  </r>
  <r>
    <s v="CUST021"/>
    <s v="Sarah Anderson"/>
    <s v="South"/>
    <s v="Electronics"/>
    <n v="967.89"/>
    <n v="10"/>
    <n v="0.1"/>
    <x v="22"/>
    <n v="217.78"/>
    <s v="Low Discount"/>
    <d v="2026-02-27T19:38:54"/>
    <x v="1"/>
  </r>
  <r>
    <s v="CUST015"/>
    <s v="Linda Taylor"/>
    <s v="North"/>
    <s v="Office Supplies"/>
    <n v="1200.9000000000001"/>
    <n v="14"/>
    <n v="0.05"/>
    <x v="22"/>
    <n v="513.38"/>
    <s v="Low Discount"/>
    <d v="2026-02-27T19:38:54"/>
    <x v="0"/>
  </r>
  <r>
    <s v="CUST012"/>
    <s v="Michael Anderson"/>
    <s v="West"/>
    <s v="Books"/>
    <n v="472.38"/>
    <n v="12"/>
    <n v="0.2"/>
    <x v="22"/>
    <n v="151.16"/>
    <s v="High Discount"/>
    <d v="2026-02-27T19:38:54"/>
    <x v="1"/>
  </r>
  <r>
    <s v="CUST019"/>
    <s v="David Brown"/>
    <s v="East"/>
    <s v="Office Supplies"/>
    <n v="840.92"/>
    <n v="9"/>
    <n v="0.05"/>
    <x v="22"/>
    <n v="359.49"/>
    <s v="Low Discount"/>
    <d v="2026-02-27T19:38:54"/>
    <x v="1"/>
  </r>
  <r>
    <s v="CUST028"/>
    <s v="Lisa Davis"/>
    <s v="Central"/>
    <s v="Furniture"/>
    <n v="1410.06"/>
    <n v="11"/>
    <n v="0.05"/>
    <x v="23"/>
    <n v="468.84"/>
    <s v="Low Discount"/>
    <d v="2026-02-27T19:38:54"/>
    <x v="0"/>
  </r>
  <r>
    <s v="CUST008"/>
    <s v="Mary Wilson"/>
    <s v="Central"/>
    <s v="Furniture"/>
    <n v="773.09"/>
    <n v="13"/>
    <n v="0.15"/>
    <x v="23"/>
    <n v="229.99"/>
    <s v="Medium Discount"/>
    <d v="2026-02-27T19:38:54"/>
    <x v="1"/>
  </r>
  <r>
    <s v="CUST016"/>
    <s v="Emma Wilson"/>
    <s v="East"/>
    <s v="Books"/>
    <n v="580.42999999999995"/>
    <n v="19"/>
    <n v="0.15"/>
    <x v="24"/>
    <n v="197.35"/>
    <s v="Medium Discount"/>
    <d v="2026-02-27T19:38:54"/>
    <x v="1"/>
  </r>
  <r>
    <s v="CUST005"/>
    <s v="David Smith"/>
    <s v="South"/>
    <s v="Books"/>
    <n v="1151.21"/>
    <n v="15"/>
    <n v="0.1"/>
    <x v="25"/>
    <n v="414.44"/>
    <s v="Low Discount"/>
    <d v="2026-02-27T19:38:54"/>
    <x v="0"/>
  </r>
  <r>
    <s v="CUST028"/>
    <s v="James Wilson"/>
    <s v="Central"/>
    <s v="Office Supplies"/>
    <n v="1025.98"/>
    <n v="5"/>
    <n v="0.2"/>
    <x v="26"/>
    <n v="369.35"/>
    <s v="High Discount"/>
    <d v="2026-02-27T19:38:54"/>
    <x v="0"/>
  </r>
  <r>
    <s v="CUST023"/>
    <s v="David Davis"/>
    <s v="East"/>
    <s v="Office Supplies"/>
    <n v="556.41999999999996"/>
    <n v="11"/>
    <n v="0.15"/>
    <x v="26"/>
    <n v="212.83"/>
    <s v="Medium Discount"/>
    <d v="2026-02-27T19:38:54"/>
    <x v="1"/>
  </r>
  <r>
    <s v="CUST021"/>
    <s v="James Wilson"/>
    <s v="Central"/>
    <s v="Books"/>
    <n v="840.85"/>
    <n v="19"/>
    <n v="0.1"/>
    <x v="27"/>
    <n v="302.70999999999998"/>
    <s v="Low Discount"/>
    <d v="2026-02-27T19:38:54"/>
    <x v="1"/>
  </r>
  <r>
    <s v="CUST026"/>
    <s v="Emma Wilson"/>
    <s v="North"/>
    <s v="Furniture"/>
    <n v="1227.25"/>
    <n v="12"/>
    <n v="0.15"/>
    <x v="27"/>
    <n v="365.11"/>
    <s v="Medium Discount"/>
    <d v="2026-02-27T19:38:54"/>
    <x v="0"/>
  </r>
  <r>
    <s v="CUST017"/>
    <s v="Linda Davis"/>
    <s v="Central"/>
    <s v="Electronics"/>
    <n v="856.7"/>
    <n v="2"/>
    <n v="0"/>
    <x v="28"/>
    <n v="214.18"/>
    <s v="No Discount"/>
    <d v="2026-02-27T19:38:54"/>
    <x v="1"/>
  </r>
  <r>
    <s v="CUST025"/>
    <s v="David Davis"/>
    <s v="Central"/>
    <s v="Office Supplies"/>
    <n v="1225.42"/>
    <n v="8"/>
    <n v="0.15"/>
    <x v="28"/>
    <n v="468.72"/>
    <s v="Medium Discount"/>
    <d v="2026-02-27T19:38:54"/>
    <x v="0"/>
  </r>
  <r>
    <s v="CUST011"/>
    <s v="Mary Davis"/>
    <s v="North"/>
    <s v="Office Supplies"/>
    <n v="1001.57"/>
    <n v="12"/>
    <n v="0"/>
    <x v="29"/>
    <n v="450.71"/>
    <s v="No Discount"/>
    <d v="2026-02-27T19:38:54"/>
    <x v="0"/>
  </r>
  <r>
    <s v="CUST021"/>
    <s v="Michael Anderson"/>
    <s v="East"/>
    <s v="Furniture"/>
    <n v="1186.8499999999999"/>
    <n v="19"/>
    <n v="0.2"/>
    <x v="30"/>
    <n v="332.32"/>
    <s v="High Discount"/>
    <d v="2026-02-27T19:38:54"/>
    <x v="0"/>
  </r>
  <r>
    <s v="CUST008"/>
    <s v="John Brown"/>
    <s v="South"/>
    <s v="Electronics"/>
    <n v="775.45"/>
    <n v="6"/>
    <n v="0.1"/>
    <x v="31"/>
    <n v="174.48"/>
    <s v="Low Discount"/>
    <d v="2026-02-27T19:38:54"/>
    <x v="1"/>
  </r>
  <r>
    <s v="CUST007"/>
    <s v="Linda Jackson"/>
    <s v="South"/>
    <s v="Electronics"/>
    <n v="1021.47"/>
    <n v="6"/>
    <n v="0.05"/>
    <x v="32"/>
    <n v="242.6"/>
    <s v="Low Discount"/>
    <d v="2026-02-27T19:38:54"/>
    <x v="0"/>
  </r>
  <r>
    <s v="CUST015"/>
    <s v="James Wilson"/>
    <s v="South"/>
    <s v="Clothing"/>
    <n v="1226.6199999999999"/>
    <n v="7"/>
    <n v="0.1"/>
    <x v="33"/>
    <n v="551.98"/>
    <s v="Low Discount"/>
    <d v="2026-02-27T19:38:54"/>
    <x v="0"/>
  </r>
  <r>
    <s v="CUST030"/>
    <s v="Sarah Davis"/>
    <s v="South"/>
    <s v="Furniture"/>
    <n v="1086.93"/>
    <n v="2"/>
    <n v="0"/>
    <x v="34"/>
    <n v="380.43"/>
    <s v="No Discount"/>
    <d v="2026-02-27T19:38:54"/>
    <x v="0"/>
  </r>
  <r>
    <s v="CUST002"/>
    <s v="Lisa Davis"/>
    <s v="West"/>
    <s v="Books"/>
    <n v="942.9"/>
    <n v="18"/>
    <n v="0.1"/>
    <x v="35"/>
    <n v="339.44"/>
    <s v="Low Discount"/>
    <d v="2026-02-27T19:38:54"/>
    <x v="1"/>
  </r>
  <r>
    <s v="CUST009"/>
    <s v="Emma Davis"/>
    <s v="North"/>
    <s v="Electronics"/>
    <n v="818.8"/>
    <n v="15"/>
    <n v="0.15"/>
    <x v="36"/>
    <n v="173.99"/>
    <s v="Medium Discount"/>
    <d v="2026-02-27T19:38:54"/>
    <x v="1"/>
  </r>
  <r>
    <s v="CUST005"/>
    <s v="Robert Anderson"/>
    <s v="South"/>
    <s v="Furniture"/>
    <n v="919.04"/>
    <n v="10"/>
    <n v="0.2"/>
    <x v="36"/>
    <n v="257.33"/>
    <s v="High Discount"/>
    <d v="2026-02-27T19:38:54"/>
    <x v="1"/>
  </r>
  <r>
    <s v="CUST030"/>
    <s v="Emma Taylor"/>
    <s v="Central"/>
    <s v="Books"/>
    <n v="973.26"/>
    <n v="11"/>
    <n v="0"/>
    <x v="37"/>
    <n v="389.3"/>
    <s v="No Discount"/>
    <d v="2026-02-27T19:38:54"/>
    <x v="1"/>
  </r>
  <r>
    <s v="CUST029"/>
    <s v="Sarah Davis"/>
    <s v="North"/>
    <s v="Electronics"/>
    <n v="741.61"/>
    <n v="1"/>
    <n v="0.2"/>
    <x v="38"/>
    <n v="148.32"/>
    <s v="High Discount"/>
    <d v="2026-02-27T19:38:54"/>
    <x v="1"/>
  </r>
  <r>
    <s v="CUST003"/>
    <s v="Emma Davis"/>
    <s v="North"/>
    <s v="Books"/>
    <n v="1248.82"/>
    <n v="2"/>
    <n v="0.1"/>
    <x v="39"/>
    <n v="449.58"/>
    <s v="Low Discount"/>
    <d v="2026-02-27T19:38:54"/>
    <x v="0"/>
  </r>
  <r>
    <s v="CUST012"/>
    <s v="Mary Wilson"/>
    <s v="West"/>
    <s v="Clothing"/>
    <n v="1360.36"/>
    <n v="17"/>
    <n v="0"/>
    <x v="39"/>
    <n v="680.18"/>
    <s v="No Discount"/>
    <d v="2026-02-27T19:38:54"/>
    <x v="0"/>
  </r>
  <r>
    <s v="CUST021"/>
    <s v="Mary Davis"/>
    <s v="East"/>
    <s v="Books"/>
    <n v="1383.3"/>
    <n v="8"/>
    <n v="0.1"/>
    <x v="40"/>
    <n v="497.99"/>
    <s v="Low Discount"/>
    <d v="2026-02-27T19:38:54"/>
    <x v="0"/>
  </r>
  <r>
    <s v="CUST010"/>
    <s v="David Brown"/>
    <s v="Central"/>
    <s v="Office Supplies"/>
    <n v="488.99"/>
    <n v="9"/>
    <n v="0"/>
    <x v="41"/>
    <n v="220.05"/>
    <s v="No Discount"/>
    <d v="2026-02-27T19:38:54"/>
    <x v="1"/>
  </r>
  <r>
    <s v="CUST026"/>
    <s v="Mary Davis"/>
    <s v="East"/>
    <s v="Furniture"/>
    <n v="933.71"/>
    <n v="17"/>
    <n v="0.1"/>
    <x v="42"/>
    <n v="294.12"/>
    <s v="Low Discount"/>
    <d v="2026-02-27T19:38:54"/>
    <x v="1"/>
  </r>
  <r>
    <s v="CUST003"/>
    <s v="James Davis"/>
    <s v="West"/>
    <s v="Electronics"/>
    <n v="1005.53"/>
    <n v="17"/>
    <n v="0.2"/>
    <x v="42"/>
    <n v="201.11"/>
    <s v="High Discount"/>
    <d v="2026-02-27T19:38:54"/>
    <x v="0"/>
  </r>
  <r>
    <s v="CUST029"/>
    <s v="Emma Wilson"/>
    <s v="South"/>
    <s v="Electronics"/>
    <n v="1100.0999999999999"/>
    <n v="5"/>
    <n v="0.05"/>
    <x v="43"/>
    <n v="261.27"/>
    <s v="Low Discount"/>
    <d v="2026-02-27T19:38:54"/>
    <x v="0"/>
  </r>
  <r>
    <s v="CUST003"/>
    <s v="James Wilson"/>
    <s v="North"/>
    <s v="Furniture"/>
    <n v="1034.7"/>
    <n v="15"/>
    <n v="0.15"/>
    <x v="44"/>
    <n v="307.82"/>
    <s v="Medium Discount"/>
    <d v="2026-02-27T19:38:54"/>
    <x v="0"/>
  </r>
  <r>
    <s v="CUST002"/>
    <s v="Mary Davis"/>
    <s v="South"/>
    <s v="Books"/>
    <n v="876.44"/>
    <n v="12"/>
    <n v="0.05"/>
    <x v="45"/>
    <n v="333.05"/>
    <s v="Low Discount"/>
    <d v="2026-02-27T19:38:54"/>
    <x v="1"/>
  </r>
  <r>
    <s v="CUST020"/>
    <s v="David Brown"/>
    <s v="West"/>
    <s v="Furniture"/>
    <n v="1371.34"/>
    <n v="5"/>
    <n v="0.05"/>
    <x v="45"/>
    <n v="455.97"/>
    <s v="Low Discount"/>
    <d v="2026-02-27T19:38:54"/>
    <x v="0"/>
  </r>
  <r>
    <s v="CUST021"/>
    <s v="Mary Jackson"/>
    <s v="North"/>
    <s v="Electronics"/>
    <n v="1020.26"/>
    <n v="11"/>
    <n v="0.05"/>
    <x v="46"/>
    <n v="242.31"/>
    <s v="Low Discount"/>
    <d v="2026-02-27T19:38:54"/>
    <x v="0"/>
  </r>
  <r>
    <s v="CUST008"/>
    <s v="James Davis"/>
    <s v="Central"/>
    <s v="Office Supplies"/>
    <n v="804.81"/>
    <n v="1"/>
    <n v="0.05"/>
    <x v="47"/>
    <n v="344.06"/>
    <s v="Low Discount"/>
    <d v="2026-02-27T19:38:54"/>
    <x v="1"/>
  </r>
  <r>
    <s v="CUST030"/>
    <s v="David Brown"/>
    <s v="Central"/>
    <s v="Electronics"/>
    <n v="608.66"/>
    <n v="1"/>
    <n v="0.05"/>
    <x v="48"/>
    <n v="144.56"/>
    <s v="Low Discount"/>
    <d v="2026-02-27T19:38:54"/>
    <x v="1"/>
  </r>
  <r>
    <s v="CUST020"/>
    <s v="Linda Moore"/>
    <s v="South"/>
    <s v="Office Supplies"/>
    <n v="981.2"/>
    <n v="19"/>
    <n v="0"/>
    <x v="49"/>
    <n v="441.54"/>
    <s v="No Discount"/>
    <d v="2026-02-27T19:38:54"/>
    <x v="1"/>
  </r>
  <r>
    <s v="CUST024"/>
    <s v="David Brown"/>
    <s v="East"/>
    <s v="Electronics"/>
    <n v="539.77"/>
    <n v="10"/>
    <n v="0.15"/>
    <x v="50"/>
    <n v="114.7"/>
    <s v="Medium Discount"/>
    <d v="2026-02-27T19:38:54"/>
    <x v="1"/>
  </r>
  <r>
    <s v="CUST012"/>
    <s v="David Anderson"/>
    <s v="South"/>
    <s v="Books"/>
    <n v="804.45"/>
    <n v="5"/>
    <n v="0.2"/>
    <x v="50"/>
    <n v="257.42"/>
    <s v="High Discount"/>
    <d v="2026-02-27T19:38:54"/>
    <x v="1"/>
  </r>
  <r>
    <s v="CUST024"/>
    <s v="Emma Davis"/>
    <s v="West"/>
    <s v="Electronics"/>
    <n v="1526.6"/>
    <n v="13"/>
    <n v="0.2"/>
    <x v="51"/>
    <n v="305.32"/>
    <s v="High Discount"/>
    <d v="2026-02-27T19:38:54"/>
    <x v="0"/>
  </r>
  <r>
    <s v="CUST012"/>
    <s v="Linda Wilson"/>
    <s v="West"/>
    <s v="Electronics"/>
    <n v="1215.26"/>
    <n v="5"/>
    <n v="0.15"/>
    <x v="52"/>
    <n v="258.24"/>
    <s v="Medium Discount"/>
    <d v="2026-02-27T19:38:54"/>
    <x v="0"/>
  </r>
  <r>
    <s v="CUST005"/>
    <s v="Linda Taylor"/>
    <s v="Central"/>
    <s v="Furniture"/>
    <n v="1261.3399999999999"/>
    <n v="3"/>
    <n v="0"/>
    <x v="53"/>
    <n v="441.47"/>
    <s v="No Discount"/>
    <d v="2026-02-27T19:38:54"/>
    <x v="0"/>
  </r>
  <r>
    <s v="CUST004"/>
    <s v="Lisa Thomas"/>
    <s v="North"/>
    <s v="Furniture"/>
    <n v="518.07000000000005"/>
    <n v="7"/>
    <n v="0.05"/>
    <x v="54"/>
    <n v="172.26"/>
    <s v="Low Discount"/>
    <d v="2026-02-27T19:38:54"/>
    <x v="1"/>
  </r>
  <r>
    <s v="CUST026"/>
    <s v="Linda Wilson"/>
    <s v="West"/>
    <s v="Office Supplies"/>
    <n v="1111.3399999999999"/>
    <n v="1"/>
    <n v="0"/>
    <x v="55"/>
    <n v="500.1"/>
    <s v="No Discount"/>
    <d v="2026-02-27T19:38:54"/>
    <x v="0"/>
  </r>
  <r>
    <s v="CUST030"/>
    <s v="Mary Davis"/>
    <s v="East"/>
    <s v="Clothing"/>
    <n v="1291.47"/>
    <n v="18"/>
    <n v="0.1"/>
    <x v="56"/>
    <n v="581.16"/>
    <s v="Low Discount"/>
    <d v="2026-02-27T19:38:54"/>
    <x v="0"/>
  </r>
  <r>
    <s v="CUST007"/>
    <s v="David Brown"/>
    <s v="North"/>
    <s v="Books"/>
    <n v="679.71"/>
    <n v="19"/>
    <n v="0"/>
    <x v="57"/>
    <n v="271.88"/>
    <s v="No Discount"/>
    <d v="2026-02-27T19:38:54"/>
    <x v="1"/>
  </r>
  <r>
    <s v="CUST020"/>
    <s v="Linda Jackson"/>
    <s v="East"/>
    <s v="Furniture"/>
    <n v="1143.69"/>
    <n v="17"/>
    <n v="0"/>
    <x v="57"/>
    <n v="400.29"/>
    <s v="No Discount"/>
    <d v="2026-02-27T19:38:54"/>
    <x v="0"/>
  </r>
  <r>
    <s v="CUST028"/>
    <s v="Linda Brown"/>
    <s v="Central"/>
    <s v="Electronics"/>
    <n v="790.08"/>
    <n v="7"/>
    <n v="0.1"/>
    <x v="58"/>
    <n v="177.77"/>
    <s v="Low Discount"/>
    <d v="2026-02-27T19:38:54"/>
    <x v="1"/>
  </r>
  <r>
    <s v="CUST005"/>
    <s v="Lisa Davis"/>
    <s v="Central"/>
    <s v="Books"/>
    <n v="1070.68"/>
    <n v="7"/>
    <n v="0.05"/>
    <x v="58"/>
    <n v="406.86"/>
    <s v="Low Discount"/>
    <d v="2026-02-27T19:38:54"/>
    <x v="0"/>
  </r>
  <r>
    <s v="CUST015"/>
    <s v="David Thomas"/>
    <s v="West"/>
    <s v="Clothing"/>
    <n v="1168.8900000000001"/>
    <n v="4"/>
    <n v="0.1"/>
    <x v="59"/>
    <n v="526"/>
    <s v="Low Discount"/>
    <d v="2026-02-27T19:38:54"/>
    <x v="0"/>
  </r>
  <r>
    <s v="CUST003"/>
    <s v="James Davis"/>
    <s v="South"/>
    <s v="Electronics"/>
    <n v="1335.87"/>
    <n v="17"/>
    <n v="0"/>
    <x v="59"/>
    <n v="333.97"/>
    <s v="No Discount"/>
    <d v="2026-02-27T19:38:54"/>
    <x v="0"/>
  </r>
  <r>
    <s v="CUST023"/>
    <s v="David Brown"/>
    <s v="East"/>
    <s v="Furniture"/>
    <n v="873.7"/>
    <n v="9"/>
    <n v="0"/>
    <x v="60"/>
    <n v="305.8"/>
    <s v="No Discount"/>
    <d v="2026-02-27T19:38:54"/>
    <x v="1"/>
  </r>
  <r>
    <s v="CUST004"/>
    <s v="Sarah Davis"/>
    <s v="West"/>
    <s v="Office Supplies"/>
    <n v="1443.98"/>
    <n v="19"/>
    <n v="0"/>
    <x v="61"/>
    <n v="649.79"/>
    <s v="No Discount"/>
    <d v="2026-02-27T19:38:54"/>
    <x v="0"/>
  </r>
  <r>
    <s v="CUST023"/>
    <s v="James Wilson"/>
    <s v="East"/>
    <s v="Office Supplies"/>
    <n v="1154.33"/>
    <n v="11"/>
    <n v="0.15"/>
    <x v="62"/>
    <n v="441.53"/>
    <s v="Medium Discount"/>
    <d v="2026-02-27T19:38:54"/>
    <x v="0"/>
  </r>
  <r>
    <s v="CUST022"/>
    <s v="Linda Brown"/>
    <s v="South"/>
    <s v="Books"/>
    <n v="1264.49"/>
    <n v="16"/>
    <n v="0.05"/>
    <x v="62"/>
    <n v="480.51"/>
    <s v="Low Discount"/>
    <d v="2026-02-27T19:38:54"/>
    <x v="0"/>
  </r>
  <r>
    <s v="CUST007"/>
    <s v="Emma Taylor"/>
    <s v="West"/>
    <s v="Furniture"/>
    <n v="1101.55"/>
    <n v="4"/>
    <n v="0.1"/>
    <x v="63"/>
    <n v="346.99"/>
    <s v="Low Discount"/>
    <d v="2026-02-27T19:38:54"/>
    <x v="0"/>
  </r>
  <r>
    <s v="CUST013"/>
    <s v="Robert Anderson"/>
    <s v="South"/>
    <s v="Furniture"/>
    <n v="727.73"/>
    <n v="1"/>
    <n v="0.1"/>
    <x v="64"/>
    <n v="229.23"/>
    <s v="Low Discount"/>
    <d v="2026-02-27T19:38:54"/>
    <x v="1"/>
  </r>
  <r>
    <s v="CUST027"/>
    <s v="Emma Davis"/>
    <s v="East"/>
    <s v="Office Supplies"/>
    <n v="875.41"/>
    <n v="13"/>
    <n v="0.15"/>
    <x v="64"/>
    <n v="334.84"/>
    <s v="Medium Discount"/>
    <d v="2026-02-27T19:38:54"/>
    <x v="1"/>
  </r>
  <r>
    <s v="CUST003"/>
    <s v="James Wilson"/>
    <s v="West"/>
    <s v="Electronics"/>
    <n v="1158.94"/>
    <n v="19"/>
    <n v="0.2"/>
    <x v="65"/>
    <n v="231.79"/>
    <s v="High Discount"/>
    <d v="2026-02-27T19:38:54"/>
    <x v="0"/>
  </r>
  <r>
    <s v="CUST018"/>
    <s v="Mary Jackson"/>
    <s v="South"/>
    <s v="Books"/>
    <n v="966.3"/>
    <n v="2"/>
    <n v="0.15"/>
    <x v="66"/>
    <n v="328.54"/>
    <s v="Medium Discount"/>
    <d v="2026-02-27T19:38:54"/>
    <x v="1"/>
  </r>
  <r>
    <s v="CUST020"/>
    <s v="James Taylor"/>
    <s v="South"/>
    <s v="Books"/>
    <n v="917.48"/>
    <n v="6"/>
    <n v="0"/>
    <x v="67"/>
    <n v="366.99"/>
    <s v="No Discount"/>
    <d v="2026-02-27T19:38:54"/>
    <x v="1"/>
  </r>
  <r>
    <s v="CUST029"/>
    <s v="Emma Wilson"/>
    <s v="West"/>
    <s v="Furniture"/>
    <n v="1172.97"/>
    <n v="7"/>
    <n v="0.15"/>
    <x v="68"/>
    <n v="348.96"/>
    <s v="Medium Discount"/>
    <d v="2026-02-27T19:38:54"/>
    <x v="0"/>
  </r>
  <r>
    <s v="CUST021"/>
    <s v="James Wilson"/>
    <s v="North"/>
    <s v="Clothing"/>
    <n v="1205.82"/>
    <n v="11"/>
    <n v="0.1"/>
    <x v="68"/>
    <n v="542.62"/>
    <s v="Low Discount"/>
    <d v="2026-02-27T19:38:54"/>
    <x v="0"/>
  </r>
  <r>
    <s v="CUST017"/>
    <s v="Sarah Davis"/>
    <s v="West"/>
    <s v="Office Supplies"/>
    <n v="826.93"/>
    <n v="10"/>
    <n v="0.2"/>
    <x v="69"/>
    <n v="297.69"/>
    <s v="High Discount"/>
    <d v="2026-02-27T19:38:54"/>
    <x v="1"/>
  </r>
  <r>
    <s v="CUST003"/>
    <s v="James Wilson"/>
    <s v="Central"/>
    <s v="Clothing"/>
    <n v="902.19"/>
    <n v="12"/>
    <n v="0"/>
    <x v="69"/>
    <n v="451.1"/>
    <s v="No Discount"/>
    <d v="2026-02-27T19:38:54"/>
    <x v="1"/>
  </r>
  <r>
    <s v="CUST027"/>
    <s v="Emma Davis"/>
    <s v="North"/>
    <s v="Books"/>
    <n v="585.97"/>
    <n v="17"/>
    <n v="0.1"/>
    <x v="70"/>
    <n v="210.95"/>
    <s v="Low Discount"/>
    <d v="2026-02-27T19:38:54"/>
    <x v="1"/>
  </r>
  <r>
    <s v="CUST016"/>
    <s v="Michael Anderson"/>
    <s v="North"/>
    <s v="Clothing"/>
    <n v="990.19"/>
    <n v="8"/>
    <n v="0.1"/>
    <x v="70"/>
    <n v="445.59"/>
    <s v="Low Discount"/>
    <d v="2026-02-27T19:38:54"/>
    <x v="1"/>
  </r>
  <r>
    <s v="CUST008"/>
    <s v="David Davis"/>
    <s v="Central"/>
    <s v="Electronics"/>
    <n v="1014.09"/>
    <n v="13"/>
    <n v="0.2"/>
    <x v="71"/>
    <n v="202.82"/>
    <s v="High Discount"/>
    <d v="2026-02-27T19:38:54"/>
    <x v="0"/>
  </r>
  <r>
    <s v="CUST012"/>
    <s v="Lisa Davis"/>
    <s v="North"/>
    <s v="Electronics"/>
    <n v="925.29"/>
    <n v="17"/>
    <n v="0"/>
    <x v="72"/>
    <n v="231.32"/>
    <s v="No Discount"/>
    <d v="2026-02-27T19:38:54"/>
    <x v="1"/>
  </r>
  <r>
    <s v="CUST025"/>
    <s v="Mary Jackson"/>
    <s v="East"/>
    <s v="Furniture"/>
    <n v="1286.54"/>
    <n v="8"/>
    <n v="0"/>
    <x v="73"/>
    <n v="450.29"/>
    <s v="No Discount"/>
    <d v="2026-02-27T19:38:54"/>
    <x v="0"/>
  </r>
  <r>
    <s v="CUST014"/>
    <s v="Sarah Davis"/>
    <s v="South"/>
    <s v="Books"/>
    <n v="961.62"/>
    <n v="8"/>
    <n v="0.2"/>
    <x v="74"/>
    <n v="307.72000000000003"/>
    <s v="High Discount"/>
    <d v="2026-02-27T19:38:54"/>
    <x v="1"/>
  </r>
  <r>
    <s v="CUST008"/>
    <s v="James Wilson"/>
    <s v="East"/>
    <s v="Books"/>
    <n v="1081.1400000000001"/>
    <n v="19"/>
    <n v="0.15"/>
    <x v="74"/>
    <n v="367.59"/>
    <s v="Medium Discount"/>
    <d v="2026-02-27T19:38:54"/>
    <x v="0"/>
  </r>
  <r>
    <s v="CUST015"/>
    <s v="James Wilson"/>
    <s v="West"/>
    <s v="Clothing"/>
    <n v="1923.66"/>
    <n v="9"/>
    <n v="0.2"/>
    <x v="75"/>
    <n v="769.46"/>
    <s v="High Discount"/>
    <d v="2026-02-27T19:38:54"/>
    <x v="0"/>
  </r>
  <r>
    <s v="CUST025"/>
    <s v="Emma Taylor"/>
    <s v="Central"/>
    <s v="Clothing"/>
    <n v="728.71"/>
    <n v="14"/>
    <n v="0.1"/>
    <x v="76"/>
    <n v="327.92"/>
    <s v="Low Discount"/>
    <d v="2026-02-27T19:38:54"/>
    <x v="1"/>
  </r>
  <r>
    <s v="CUST019"/>
    <s v="Linda Jackson"/>
    <s v="Central"/>
    <s v="Clothing"/>
    <n v="1301.8900000000001"/>
    <n v="7"/>
    <n v="0.15"/>
    <x v="76"/>
    <n v="553.29999999999995"/>
    <s v="Medium Discount"/>
    <d v="2026-02-27T19:38:54"/>
    <x v="0"/>
  </r>
  <r>
    <s v="CUST024"/>
    <s v="Emma Taylor"/>
    <s v="East"/>
    <s v="Books"/>
    <n v="980.18"/>
    <n v="16"/>
    <n v="0.1"/>
    <x v="77"/>
    <n v="352.86"/>
    <s v="Low Discount"/>
    <d v="2026-02-27T19:38:54"/>
    <x v="1"/>
  </r>
  <r>
    <s v="CUST027"/>
    <s v="James Wilson"/>
    <s v="West"/>
    <s v="Clothing"/>
    <n v="697.57"/>
    <n v="17"/>
    <n v="0.1"/>
    <x v="78"/>
    <n v="313.91000000000003"/>
    <s v="Low Discount"/>
    <d v="2026-02-27T19:38:54"/>
    <x v="1"/>
  </r>
  <r>
    <s v="CUST006"/>
    <s v="David Anderson"/>
    <s v="West"/>
    <s v="Furniture"/>
    <n v="1193.6099999999999"/>
    <n v="1"/>
    <n v="0.15"/>
    <x v="78"/>
    <n v="355.1"/>
    <s v="Medium Discount"/>
    <d v="2026-02-27T19:38:54"/>
    <x v="0"/>
  </r>
  <r>
    <s v="CUST009"/>
    <s v="Emma Davis"/>
    <s v="South"/>
    <s v="Electronics"/>
    <n v="771.02"/>
    <n v="1"/>
    <n v="0"/>
    <x v="79"/>
    <n v="192.76"/>
    <s v="No Discount"/>
    <d v="2026-02-27T19:38:54"/>
    <x v="1"/>
  </r>
  <r>
    <s v="CUST003"/>
    <s v="Linda Moore"/>
    <s v="North"/>
    <s v="Clothing"/>
    <n v="661.09"/>
    <n v="1"/>
    <n v="0.2"/>
    <x v="80"/>
    <n v="264.44"/>
    <s v="High Discount"/>
    <d v="2026-02-27T19:38:54"/>
    <x v="1"/>
  </r>
  <r>
    <s v="CUST012"/>
    <s v="David Brown"/>
    <s v="West"/>
    <s v="Electronics"/>
    <n v="688.83"/>
    <n v="15"/>
    <n v="0"/>
    <x v="81"/>
    <n v="172.21"/>
    <s v="No Discount"/>
    <d v="2026-02-27T19:38:54"/>
    <x v="1"/>
  </r>
  <r>
    <s v="CUST013"/>
    <s v="Linda Wilson"/>
    <s v="Central"/>
    <s v="Books"/>
    <n v="1249.0999999999999"/>
    <n v="4"/>
    <n v="0.05"/>
    <x v="82"/>
    <n v="474.66"/>
    <s v="Low Discount"/>
    <d v="2026-02-27T19:38:54"/>
    <x v="0"/>
  </r>
  <r>
    <s v="CUST008"/>
    <s v="James Wilson"/>
    <s v="East"/>
    <s v="Office Supplies"/>
    <n v="1014.22"/>
    <n v="14"/>
    <n v="0.05"/>
    <x v="83"/>
    <n v="433.58"/>
    <s v="Low Discount"/>
    <d v="2026-02-27T19:38:54"/>
    <x v="0"/>
  </r>
  <r>
    <s v="CUST025"/>
    <s v="Lisa Davis"/>
    <s v="East"/>
    <s v="Books"/>
    <n v="1010.58"/>
    <n v="2"/>
    <n v="0.15"/>
    <x v="84"/>
    <n v="343.6"/>
    <s v="Medium Discount"/>
    <d v="2026-02-27T19:38:54"/>
    <x v="0"/>
  </r>
  <r>
    <s v="CUST026"/>
    <s v="Mary Wilson"/>
    <s v="North"/>
    <s v="Furniture"/>
    <n v="957.29"/>
    <n v="4"/>
    <n v="0.05"/>
    <x v="84"/>
    <n v="318.3"/>
    <s v="Low Discount"/>
    <d v="2026-02-27T19:38:54"/>
    <x v="1"/>
  </r>
  <r>
    <s v="CUST001"/>
    <s v="Lisa Thomas"/>
    <s v="North"/>
    <s v="Furniture"/>
    <n v="1077.92"/>
    <n v="3"/>
    <n v="0.05"/>
    <x v="85"/>
    <n v="358.41"/>
    <s v="Low Discount"/>
    <d v="2026-02-27T19:38:54"/>
    <x v="0"/>
  </r>
  <r>
    <s v="CUST028"/>
    <s v="Linda Brown"/>
    <s v="South"/>
    <s v="Clothing"/>
    <n v="1163.01"/>
    <n v="5"/>
    <n v="0"/>
    <x v="86"/>
    <n v="581.5"/>
    <s v="No Discount"/>
    <d v="2026-02-27T19:38:54"/>
    <x v="0"/>
  </r>
  <r>
    <s v="CUST025"/>
    <s v="Lisa Thomas"/>
    <s v="East"/>
    <s v="Office Supplies"/>
    <n v="1014.56"/>
    <n v="10"/>
    <n v="0.1"/>
    <x v="87"/>
    <n v="410.9"/>
    <s v="Low Discount"/>
    <d v="2026-02-27T19:38:54"/>
    <x v="0"/>
  </r>
  <r>
    <s v="CUST019"/>
    <s v="James Taylor"/>
    <s v="South"/>
    <s v="Electronics"/>
    <n v="718.04"/>
    <n v="14"/>
    <n v="0"/>
    <x v="88"/>
    <n v="179.51"/>
    <s v="No Discount"/>
    <d v="2026-02-27T19:38:54"/>
    <x v="1"/>
  </r>
  <r>
    <s v="CUST004"/>
    <s v="James Taylor"/>
    <s v="Central"/>
    <s v="Clothing"/>
    <n v="1277.8499999999999"/>
    <n v="18"/>
    <n v="0.2"/>
    <x v="88"/>
    <n v="511.14"/>
    <s v="High Discount"/>
    <d v="2026-02-27T19:38:54"/>
    <x v="0"/>
  </r>
  <r>
    <s v="CUST024"/>
    <s v="James Wilson"/>
    <s v="North"/>
    <s v="Electronics"/>
    <n v="706.73"/>
    <n v="1"/>
    <n v="0.15"/>
    <x v="88"/>
    <n v="150.18"/>
    <s v="Medium Discount"/>
    <d v="2026-02-27T19:38:54"/>
    <x v="1"/>
  </r>
  <r>
    <s v="CUST002"/>
    <s v="Linda Brown"/>
    <s v="East"/>
    <s v="Electronics"/>
    <n v="1410.59"/>
    <n v="15"/>
    <n v="0"/>
    <x v="89"/>
    <n v="352.65"/>
    <s v="No Discount"/>
    <d v="2026-02-27T19:38:54"/>
    <x v="0"/>
  </r>
  <r>
    <s v="CUST009"/>
    <s v="Emma Wilson"/>
    <s v="South"/>
    <s v="Furniture"/>
    <n v="1350.33"/>
    <n v="10"/>
    <n v="0"/>
    <x v="89"/>
    <n v="472.62"/>
    <s v="No Discount"/>
    <d v="2026-02-27T19:38:54"/>
    <x v="0"/>
  </r>
  <r>
    <s v="CUST029"/>
    <s v="Lisa Thomas"/>
    <s v="East"/>
    <s v="Electronics"/>
    <n v="919.18"/>
    <n v="4"/>
    <n v="0.15"/>
    <x v="89"/>
    <n v="195.33"/>
    <s v="Medium Discount"/>
    <d v="2026-02-27T19:38:54"/>
    <x v="1"/>
  </r>
  <r>
    <s v="CUST027"/>
    <s v="James Wilson"/>
    <s v="West"/>
    <s v="Electronics"/>
    <n v="258.51"/>
    <n v="19"/>
    <n v="0"/>
    <x v="90"/>
    <n v="64.63"/>
    <s v="No Discount"/>
    <d v="2026-02-27T19:38:54"/>
    <x v="1"/>
  </r>
  <r>
    <s v="CUST011"/>
    <s v="Emma Wilson"/>
    <s v="East"/>
    <s v="Books"/>
    <n v="1213.48"/>
    <n v="5"/>
    <n v="0.05"/>
    <x v="90"/>
    <n v="461.12"/>
    <s v="Low Discount"/>
    <d v="2026-02-27T19:38:54"/>
    <x v="0"/>
  </r>
  <r>
    <s v="CUST021"/>
    <s v="Emma Davis"/>
    <s v="Central"/>
    <s v="Books"/>
    <n v="1150.28"/>
    <n v="8"/>
    <n v="0.05"/>
    <x v="91"/>
    <n v="437.11"/>
    <s v="Low Discount"/>
    <d v="2026-02-27T19:38:54"/>
    <x v="0"/>
  </r>
  <r>
    <s v="CUST014"/>
    <s v="David Anderson"/>
    <s v="South"/>
    <s v="Furniture"/>
    <n v="853.86"/>
    <n v="8"/>
    <n v="0.1"/>
    <x v="91"/>
    <n v="268.97000000000003"/>
    <s v="Low Discount"/>
    <d v="2026-02-27T19:38:54"/>
    <x v="1"/>
  </r>
  <r>
    <s v="CUST018"/>
    <s v="Lisa Thomas"/>
    <s v="South"/>
    <s v="Electronics"/>
    <n v="1061.04"/>
    <n v="1"/>
    <n v="0"/>
    <x v="92"/>
    <n v="265.26"/>
    <s v="No Discount"/>
    <d v="2026-02-27T19:38:54"/>
    <x v="0"/>
  </r>
  <r>
    <s v="CUST001"/>
    <s v="Sarah Anderson"/>
    <s v="West"/>
    <s v="Electronics"/>
    <n v="894.55"/>
    <n v="19"/>
    <n v="0.2"/>
    <x v="93"/>
    <n v="178.91"/>
    <s v="High Discount"/>
    <d v="2026-02-27T19:38:54"/>
    <x v="1"/>
  </r>
  <r>
    <s v="CUST007"/>
    <s v="Emma Davis"/>
    <s v="North"/>
    <s v="Office Supplies"/>
    <n v="833.91"/>
    <n v="3"/>
    <n v="0.05"/>
    <x v="94"/>
    <n v="356.5"/>
    <s v="Low Discount"/>
    <d v="2026-02-27T19:38:54"/>
    <x v="1"/>
  </r>
  <r>
    <s v="CUST015"/>
    <s v="David Anderson"/>
    <s v="West"/>
    <s v="Furniture"/>
    <n v="820.19"/>
    <n v="4"/>
    <n v="0.2"/>
    <x v="95"/>
    <n v="229.65"/>
    <s v="High Discount"/>
    <d v="2026-02-27T19:38:54"/>
    <x v="1"/>
  </r>
  <r>
    <s v="CUST015"/>
    <s v="Emma Davis"/>
    <s v="Central"/>
    <s v="Electronics"/>
    <n v="511.74"/>
    <n v="8"/>
    <n v="0.05"/>
    <x v="96"/>
    <n v="121.54"/>
    <s v="Low Discount"/>
    <d v="2026-02-27T19:38:54"/>
    <x v="1"/>
  </r>
  <r>
    <s v="CUST002"/>
    <s v="Emma Wilson"/>
    <s v="South"/>
    <s v="Furniture"/>
    <n v="806.03"/>
    <n v="19"/>
    <n v="0.05"/>
    <x v="97"/>
    <n v="268"/>
    <s v="Low Discount"/>
    <d v="2026-02-27T19:38:54"/>
    <x v="1"/>
  </r>
  <r>
    <s v="CUST001"/>
    <s v="Michael Anderson"/>
    <s v="Central"/>
    <s v="Furniture"/>
    <n v="1432.47"/>
    <n v="16"/>
    <n v="0.15"/>
    <x v="98"/>
    <n v="426.16"/>
    <s v="Medium Discount"/>
    <d v="2026-02-27T19:38:54"/>
    <x v="0"/>
  </r>
  <r>
    <s v="CUST027"/>
    <s v="Linda Wilson"/>
    <s v="Central"/>
    <s v="Electronics"/>
    <n v="1488.58"/>
    <n v="10"/>
    <n v="0.15"/>
    <x v="98"/>
    <n v="316.32"/>
    <s v="Medium Discount"/>
    <d v="2026-02-27T19:38:54"/>
    <x v="0"/>
  </r>
  <r>
    <s v="CUST026"/>
    <s v="Emma Taylor"/>
    <s v="East"/>
    <s v="Books"/>
    <n v="1231.26"/>
    <n v="9"/>
    <n v="0"/>
    <x v="99"/>
    <n v="492.5"/>
    <s v="No Discount"/>
    <d v="2026-02-27T19:38:54"/>
    <x v="0"/>
  </r>
  <r>
    <s v="CUST026"/>
    <s v="Sarah Anderson"/>
    <s v="West"/>
    <s v="Electronics"/>
    <n v="1161.67"/>
    <n v="19"/>
    <n v="0.2"/>
    <x v="100"/>
    <n v="232.33"/>
    <s v="High Discount"/>
    <d v="2026-02-27T19:38:54"/>
    <x v="0"/>
  </r>
  <r>
    <s v="CUST022"/>
    <s v="Lisa Thomas"/>
    <s v="Central"/>
    <s v="Office Supplies"/>
    <n v="388.23"/>
    <n v="16"/>
    <n v="0.05"/>
    <x v="101"/>
    <n v="165.97"/>
    <s v="Low Discount"/>
    <d v="2026-02-27T19:38:54"/>
    <x v="1"/>
  </r>
  <r>
    <s v="CUST004"/>
    <s v="Mary Davis"/>
    <s v="North"/>
    <s v="Clothing"/>
    <n v="1589.42"/>
    <n v="6"/>
    <n v="0.15"/>
    <x v="102"/>
    <n v="675.5"/>
    <s v="Medium Discount"/>
    <d v="2026-02-27T19:38:54"/>
    <x v="0"/>
  </r>
  <r>
    <s v="CUST001"/>
    <s v="David Anderson"/>
    <s v="North"/>
    <s v="Clothing"/>
    <n v="336.66"/>
    <n v="13"/>
    <n v="0.2"/>
    <x v="102"/>
    <n v="134.66"/>
    <s v="High Discount"/>
    <d v="2026-02-27T19:38:54"/>
    <x v="1"/>
  </r>
  <r>
    <s v="CUST022"/>
    <s v="James Wilson"/>
    <s v="West"/>
    <s v="Books"/>
    <n v="1353.79"/>
    <n v="14"/>
    <n v="0.1"/>
    <x v="103"/>
    <n v="487.36"/>
    <s v="Low Discount"/>
    <d v="2026-02-27T19:38:54"/>
    <x v="0"/>
  </r>
  <r>
    <s v="CUST011"/>
    <s v="Linda Moore"/>
    <s v="Central"/>
    <s v="Clothing"/>
    <n v="662.61"/>
    <n v="11"/>
    <n v="0.05"/>
    <x v="104"/>
    <n v="314.74"/>
    <s v="Low Discount"/>
    <d v="2026-02-27T19:38:54"/>
    <x v="1"/>
  </r>
  <r>
    <s v="CUST028"/>
    <s v="Lisa Davis"/>
    <s v="North"/>
    <s v="Office Supplies"/>
    <n v="309.42"/>
    <n v="1"/>
    <n v="0.2"/>
    <x v="104"/>
    <n v="111.39"/>
    <s v="High Discount"/>
    <d v="2026-02-27T19:38:54"/>
    <x v="1"/>
  </r>
  <r>
    <s v="CUST011"/>
    <s v="Linda Wilson"/>
    <s v="North"/>
    <s v="Books"/>
    <n v="884.63"/>
    <n v="18"/>
    <n v="0.1"/>
    <x v="105"/>
    <n v="318.47000000000003"/>
    <s v="Low Discount"/>
    <d v="2026-02-27T19:38:54"/>
    <x v="1"/>
  </r>
  <r>
    <s v="CUST028"/>
    <s v="James Wilson"/>
    <s v="Central"/>
    <s v="Office Supplies"/>
    <n v="745.05"/>
    <n v="10"/>
    <n v="0.1"/>
    <x v="106"/>
    <n v="301.75"/>
    <s v="Low Discount"/>
    <d v="2026-02-27T19:38:54"/>
    <x v="1"/>
  </r>
  <r>
    <s v="CUST016"/>
    <s v="James Taylor"/>
    <s v="South"/>
    <s v="Clothing"/>
    <n v="870.23"/>
    <n v="5"/>
    <n v="0.05"/>
    <x v="106"/>
    <n v="413.36"/>
    <s v="Low Discount"/>
    <d v="2026-02-27T19:38:54"/>
    <x v="1"/>
  </r>
  <r>
    <s v="CUST010"/>
    <s v="Linda Wilson"/>
    <s v="West"/>
    <s v="Furniture"/>
    <n v="862.19"/>
    <n v="18"/>
    <n v="0.05"/>
    <x v="107"/>
    <n v="286.68"/>
    <s v="Low Discount"/>
    <d v="2026-02-27T19:38:54"/>
    <x v="1"/>
  </r>
  <r>
    <s v="CUST013"/>
    <s v="Mary Wilson"/>
    <s v="North"/>
    <s v="Clothing"/>
    <n v="1171.18"/>
    <n v="19"/>
    <n v="0.05"/>
    <x v="108"/>
    <n v="556.30999999999995"/>
    <s v="Low Discount"/>
    <d v="2026-02-27T19:38:54"/>
    <x v="0"/>
  </r>
  <r>
    <s v="CUST015"/>
    <s v="Robert Anderson"/>
    <s v="South"/>
    <s v="Furniture"/>
    <n v="1054.56"/>
    <n v="11"/>
    <n v="0.1"/>
    <x v="109"/>
    <n v="332.19"/>
    <s v="Low Discount"/>
    <d v="2026-02-27T19:38:54"/>
    <x v="0"/>
  </r>
  <r>
    <s v="CUST015"/>
    <s v="James Wilson"/>
    <s v="North"/>
    <s v="Electronics"/>
    <n v="1681.21"/>
    <n v="5"/>
    <n v="0.2"/>
    <x v="110"/>
    <n v="336.24"/>
    <s v="High Discount"/>
    <d v="2026-02-27T19:38:54"/>
    <x v="0"/>
  </r>
  <r>
    <s v="CUST015"/>
    <s v="David Thomas"/>
    <s v="West"/>
    <s v="Clothing"/>
    <n v="379.77"/>
    <n v="9"/>
    <n v="0.05"/>
    <x v="111"/>
    <n v="180.39"/>
    <s v="Low Discount"/>
    <d v="2026-02-27T19:38:54"/>
    <x v="1"/>
  </r>
  <r>
    <s v="CUST008"/>
    <s v="Lisa Thomas"/>
    <s v="Central"/>
    <s v="Clothing"/>
    <n v="1076.33"/>
    <n v="2"/>
    <n v="0.1"/>
    <x v="112"/>
    <n v="484.35"/>
    <s v="Low Discount"/>
    <d v="2026-02-27T19:38:54"/>
    <x v="0"/>
  </r>
  <r>
    <s v="CUST008"/>
    <s v="Mary Davis"/>
    <s v="Central"/>
    <s v="Office Supplies"/>
    <n v="1250.71"/>
    <n v="7"/>
    <n v="0"/>
    <x v="112"/>
    <n v="562.82000000000005"/>
    <s v="No Discount"/>
    <d v="2026-02-27T19:38:54"/>
    <x v="0"/>
  </r>
  <r>
    <s v="CUST023"/>
    <s v="James Taylor"/>
    <s v="South"/>
    <s v="Clothing"/>
    <n v="1118.3399999999999"/>
    <n v="6"/>
    <n v="0.2"/>
    <x v="112"/>
    <n v="447.34"/>
    <s v="High Discount"/>
    <d v="2026-02-27T19:38:54"/>
    <x v="0"/>
  </r>
  <r>
    <s v="CUST024"/>
    <s v="Linda Taylor"/>
    <s v="North"/>
    <s v="Clothing"/>
    <n v="1622.62"/>
    <n v="12"/>
    <n v="0.2"/>
    <x v="113"/>
    <n v="649.04999999999995"/>
    <s v="High Discount"/>
    <d v="2026-02-27T19:38:54"/>
    <x v="0"/>
  </r>
  <r>
    <s v="CUST018"/>
    <s v="Lisa Davis"/>
    <s v="North"/>
    <s v="Books"/>
    <n v="640.64"/>
    <n v="11"/>
    <n v="0.2"/>
    <x v="114"/>
    <n v="205"/>
    <s v="High Discount"/>
    <d v="2026-02-27T19:38:54"/>
    <x v="1"/>
  </r>
  <r>
    <s v="CUST030"/>
    <s v="Sarah Anderson"/>
    <s v="West"/>
    <s v="Clothing"/>
    <n v="585.16"/>
    <n v="17"/>
    <n v="0.1"/>
    <x v="115"/>
    <n v="263.32"/>
    <s v="Low Discount"/>
    <d v="2026-02-27T19:38:54"/>
    <x v="1"/>
  </r>
  <r>
    <s v="CUST030"/>
    <s v="Mary Davis"/>
    <s v="East"/>
    <s v="Clothing"/>
    <n v="1109.98"/>
    <n v="5"/>
    <n v="0.2"/>
    <x v="116"/>
    <n v="443.99"/>
    <s v="High Discount"/>
    <d v="2026-02-27T19:38:54"/>
    <x v="0"/>
  </r>
  <r>
    <s v="CUST015"/>
    <s v="Lisa Thomas"/>
    <s v="East"/>
    <s v="Books"/>
    <n v="1098.08"/>
    <n v="9"/>
    <n v="0.1"/>
    <x v="117"/>
    <n v="395.31"/>
    <s v="Low Discount"/>
    <d v="2026-02-27T19:38:54"/>
    <x v="0"/>
  </r>
  <r>
    <s v="CUST002"/>
    <s v="Lisa Davis"/>
    <s v="West"/>
    <s v="Office Supplies"/>
    <n v="827.25"/>
    <n v="7"/>
    <n v="0.1"/>
    <x v="118"/>
    <n v="335.04"/>
    <s v="Low Discount"/>
    <d v="2026-02-27T19:38:54"/>
    <x v="1"/>
  </r>
  <r>
    <s v="CUST024"/>
    <s v="Linda Wilson"/>
    <s v="Central"/>
    <s v="Clothing"/>
    <n v="741.88"/>
    <n v="16"/>
    <n v="0.1"/>
    <x v="119"/>
    <n v="333.85"/>
    <s v="Low Discount"/>
    <d v="2026-02-27T19:38:54"/>
    <x v="1"/>
  </r>
  <r>
    <s v="CUST004"/>
    <s v="James Davis"/>
    <s v="East"/>
    <s v="Office Supplies"/>
    <n v="1311.26"/>
    <n v="6"/>
    <n v="0.1"/>
    <x v="120"/>
    <n v="531.05999999999995"/>
    <s v="Low Discount"/>
    <d v="2026-02-27T19:38:54"/>
    <x v="0"/>
  </r>
  <r>
    <s v="CUST004"/>
    <s v="Mary Davis"/>
    <s v="South"/>
    <s v="Office Supplies"/>
    <n v="573.32000000000005"/>
    <n v="19"/>
    <n v="0.1"/>
    <x v="121"/>
    <n v="232.19"/>
    <s v="Low Discount"/>
    <d v="2026-02-27T19:38:54"/>
    <x v="1"/>
  </r>
  <r>
    <s v="CUST028"/>
    <s v="James Wilson"/>
    <s v="West"/>
    <s v="Electronics"/>
    <n v="1115.22"/>
    <n v="14"/>
    <n v="0.2"/>
    <x v="122"/>
    <n v="223.04"/>
    <s v="High Discount"/>
    <d v="2026-02-27T19:38:54"/>
    <x v="0"/>
  </r>
  <r>
    <s v="CUST012"/>
    <s v="Lisa Thomas"/>
    <s v="North"/>
    <s v="Clothing"/>
    <n v="845.84"/>
    <n v="4"/>
    <n v="0"/>
    <x v="123"/>
    <n v="422.92"/>
    <s v="No Discount"/>
    <d v="2026-02-27T19:38:54"/>
    <x v="1"/>
  </r>
  <r>
    <s v="CUST026"/>
    <s v="David Brown"/>
    <s v="West"/>
    <s v="Electronics"/>
    <n v="1029.8"/>
    <n v="3"/>
    <n v="0"/>
    <x v="124"/>
    <n v="257.45"/>
    <s v="No Discount"/>
    <d v="2026-02-27T19:38:54"/>
    <x v="0"/>
  </r>
  <r>
    <s v="CUST009"/>
    <s v="Mary Davis"/>
    <s v="North"/>
    <s v="Books"/>
    <n v="1189.83"/>
    <n v="2"/>
    <n v="0.2"/>
    <x v="125"/>
    <n v="380.75"/>
    <s v="High Discount"/>
    <d v="2026-02-27T19:38:54"/>
    <x v="0"/>
  </r>
  <r>
    <s v="CUST003"/>
    <s v="Sarah Anderson"/>
    <s v="South"/>
    <s v="Books"/>
    <n v="704.28"/>
    <n v="15"/>
    <n v="0.2"/>
    <x v="126"/>
    <n v="225.37"/>
    <s v="High Discount"/>
    <d v="2026-02-27T19:38:54"/>
    <x v="1"/>
  </r>
  <r>
    <s v="CUST002"/>
    <s v="Mary Jackson"/>
    <s v="Central"/>
    <s v="Office Supplies"/>
    <n v="1618.22"/>
    <n v="12"/>
    <n v="0.2"/>
    <x v="126"/>
    <n v="582.55999999999995"/>
    <s v="High Discount"/>
    <d v="2026-02-27T19:38:54"/>
    <x v="0"/>
  </r>
  <r>
    <s v="CUST013"/>
    <s v="Linda Taylor"/>
    <s v="Central"/>
    <s v="Books"/>
    <n v="1014.43"/>
    <n v="2"/>
    <n v="0.15"/>
    <x v="127"/>
    <n v="344.91"/>
    <s v="Medium Discount"/>
    <d v="2026-02-27T19:38:54"/>
    <x v="0"/>
  </r>
  <r>
    <s v="CUST018"/>
    <s v="Mary Davis"/>
    <s v="Central"/>
    <s v="Clothing"/>
    <n v="826.97"/>
    <n v="18"/>
    <n v="0.2"/>
    <x v="128"/>
    <n v="330.79"/>
    <s v="High Discount"/>
    <d v="2026-02-27T19:38:54"/>
    <x v="1"/>
  </r>
  <r>
    <s v="CUST017"/>
    <s v="Mary Davis"/>
    <s v="Central"/>
    <s v="Clothing"/>
    <n v="1022.23"/>
    <n v="8"/>
    <n v="0.1"/>
    <x v="129"/>
    <n v="460"/>
    <s v="Low Discount"/>
    <d v="2026-02-27T19:38:54"/>
    <x v="0"/>
  </r>
  <r>
    <s v="CUST004"/>
    <s v="Linda Wilson"/>
    <s v="East"/>
    <s v="Books"/>
    <n v="1099.69"/>
    <n v="6"/>
    <n v="0"/>
    <x v="130"/>
    <n v="439.88"/>
    <s v="No Discount"/>
    <d v="2026-02-27T19:38:54"/>
    <x v="0"/>
  </r>
  <r>
    <s v="CUST028"/>
    <s v="Sarah Davis"/>
    <s v="North"/>
    <s v="Books"/>
    <n v="710.52"/>
    <n v="8"/>
    <n v="0.1"/>
    <x v="131"/>
    <n v="255.79"/>
    <s v="Low Discount"/>
    <d v="2026-02-27T19:38:54"/>
    <x v="1"/>
  </r>
  <r>
    <s v="CUST028"/>
    <s v="Mary Wilson"/>
    <s v="North"/>
    <s v="Books"/>
    <n v="499.18"/>
    <n v="15"/>
    <n v="0.2"/>
    <x v="132"/>
    <n v="159.74"/>
    <s v="High Discount"/>
    <d v="2026-02-27T19:38:54"/>
    <x v="1"/>
  </r>
  <r>
    <s v="CUST014"/>
    <s v="Emma Davis"/>
    <s v="South"/>
    <s v="Books"/>
    <n v="1064.19"/>
    <n v="18"/>
    <n v="0.05"/>
    <x v="133"/>
    <n v="404.39"/>
    <s v="Low Discount"/>
    <d v="2026-02-27T19:38:54"/>
    <x v="0"/>
  </r>
  <r>
    <s v="CUST003"/>
    <s v="Emma Davis"/>
    <s v="East"/>
    <s v="Office Supplies"/>
    <n v="438.76"/>
    <n v="18"/>
    <n v="0.05"/>
    <x v="134"/>
    <n v="187.57"/>
    <s v="Low Discount"/>
    <d v="2026-02-27T19:38:54"/>
    <x v="1"/>
  </r>
  <r>
    <s v="CUST029"/>
    <s v="David Brown"/>
    <s v="West"/>
    <s v="Clothing"/>
    <n v="864.98"/>
    <n v="2"/>
    <n v="0.05"/>
    <x v="135"/>
    <n v="410.87"/>
    <s v="Low Discount"/>
    <d v="2026-02-27T19:38:54"/>
    <x v="1"/>
  </r>
  <r>
    <s v="CUST021"/>
    <s v="David Brown"/>
    <s v="West"/>
    <s v="Furniture"/>
    <n v="984.93"/>
    <n v="14"/>
    <n v="0.2"/>
    <x v="136"/>
    <n v="275.77999999999997"/>
    <s v="High Discount"/>
    <d v="2026-02-27T19:38:54"/>
    <x v="1"/>
  </r>
  <r>
    <s v="CUST007"/>
    <s v="David Brown"/>
    <s v="West"/>
    <s v="Clothing"/>
    <n v="1493.49"/>
    <n v="18"/>
    <n v="0"/>
    <x v="137"/>
    <n v="746.74"/>
    <s v="No Discount"/>
    <d v="2026-02-27T19:38:54"/>
    <x v="0"/>
  </r>
  <r>
    <s v="CUST009"/>
    <s v="Linda Taylor"/>
    <s v="South"/>
    <s v="Clothing"/>
    <n v="689.43"/>
    <n v="9"/>
    <n v="0.1"/>
    <x v="138"/>
    <n v="310.24"/>
    <s v="Low Discount"/>
    <d v="2026-02-27T19:38:54"/>
    <x v="1"/>
  </r>
  <r>
    <s v="CUST023"/>
    <s v="Mary Wilson"/>
    <s v="South"/>
    <s v="Clothing"/>
    <n v="682.24"/>
    <n v="1"/>
    <n v="0"/>
    <x v="139"/>
    <n v="341.12"/>
    <s v="No Discount"/>
    <d v="2026-02-27T19:38:54"/>
    <x v="1"/>
  </r>
  <r>
    <s v="CUST029"/>
    <s v="Michael Anderson"/>
    <s v="North"/>
    <s v="Electronics"/>
    <n v="458.54"/>
    <n v="15"/>
    <n v="0.2"/>
    <x v="140"/>
    <n v="91.71"/>
    <s v="High Discount"/>
    <d v="2026-02-27T19:38:54"/>
    <x v="1"/>
  </r>
  <r>
    <s v="CUST009"/>
    <s v="Michael Anderson"/>
    <s v="South"/>
    <s v="Furniture"/>
    <n v="1184.25"/>
    <n v="11"/>
    <n v="0.2"/>
    <x v="141"/>
    <n v="331.59"/>
    <s v="High Discount"/>
    <d v="2026-02-27T19:38:54"/>
    <x v="0"/>
  </r>
  <r>
    <s v="CUST007"/>
    <s v="James Davis"/>
    <s v="South"/>
    <s v="Clothing"/>
    <n v="762.14"/>
    <n v="9"/>
    <n v="0"/>
    <x v="142"/>
    <n v="381.07"/>
    <s v="No Discount"/>
    <d v="2026-02-27T19:38:54"/>
    <x v="1"/>
  </r>
  <r>
    <s v="CUST030"/>
    <s v="Linda Taylor"/>
    <s v="North"/>
    <s v="Books"/>
    <n v="750.71"/>
    <n v="10"/>
    <n v="0.15"/>
    <x v="142"/>
    <n v="255.24"/>
    <s v="Medium Discount"/>
    <d v="2026-02-27T19:38:54"/>
    <x v="1"/>
  </r>
  <r>
    <s v="CUST018"/>
    <s v="David Anderson"/>
    <s v="Central"/>
    <s v="Clothing"/>
    <n v="1456.94"/>
    <n v="14"/>
    <n v="0.05"/>
    <x v="143"/>
    <n v="692.05"/>
    <s v="Low Discount"/>
    <d v="2026-02-27T19:38:54"/>
    <x v="0"/>
  </r>
  <r>
    <s v="CUST008"/>
    <s v="Emma Wilson"/>
    <s v="East"/>
    <s v="Furniture"/>
    <n v="1093.3800000000001"/>
    <n v="17"/>
    <n v="0.1"/>
    <x v="143"/>
    <n v="344.41"/>
    <s v="Low Discount"/>
    <d v="2026-02-27T19:38:54"/>
    <x v="0"/>
  </r>
  <r>
    <s v="CUST014"/>
    <s v="Sarah Anderson"/>
    <s v="West"/>
    <s v="Clothing"/>
    <n v="934.27"/>
    <n v="8"/>
    <n v="0.15"/>
    <x v="144"/>
    <n v="397.06"/>
    <s v="Medium Discount"/>
    <d v="2026-02-27T19:38:54"/>
    <x v="1"/>
  </r>
  <r>
    <s v="CUST024"/>
    <s v="David Thomas"/>
    <s v="Central"/>
    <s v="Clothing"/>
    <n v="1465.35"/>
    <n v="8"/>
    <n v="0.2"/>
    <x v="144"/>
    <n v="586.14"/>
    <s v="High Discount"/>
    <d v="2026-02-27T19:38:54"/>
    <x v="0"/>
  </r>
  <r>
    <s v="CUST028"/>
    <s v="Robert Anderson"/>
    <s v="South"/>
    <s v="Office Supplies"/>
    <n v="740.8"/>
    <n v="3"/>
    <n v="0"/>
    <x v="145"/>
    <n v="333.36"/>
    <s v="No Discount"/>
    <d v="2026-02-27T19:38:54"/>
    <x v="1"/>
  </r>
  <r>
    <s v="CUST015"/>
    <s v="Sarah Anderson"/>
    <s v="West"/>
    <s v="Office Supplies"/>
    <n v="545.44000000000005"/>
    <n v="17"/>
    <n v="0"/>
    <x v="146"/>
    <n v="245.45"/>
    <s v="No Discount"/>
    <d v="2026-02-27T19:38:54"/>
    <x v="1"/>
  </r>
  <r>
    <s v="CUST010"/>
    <s v="David Thomas"/>
    <s v="East"/>
    <s v="Books"/>
    <n v="997.61"/>
    <n v="8"/>
    <n v="0.05"/>
    <x v="146"/>
    <n v="379.09"/>
    <s v="Low Discount"/>
    <d v="2026-02-27T19:38:54"/>
    <x v="1"/>
  </r>
  <r>
    <s v="CUST016"/>
    <s v="David Thomas"/>
    <s v="South"/>
    <s v="Clothing"/>
    <n v="928.32"/>
    <n v="2"/>
    <n v="0.05"/>
    <x v="147"/>
    <n v="440.95"/>
    <s v="Low Discount"/>
    <d v="2026-02-27T19:38:54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CUST019"/>
    <s v="James Davis"/>
    <s v="West"/>
    <x v="0"/>
    <n v="1036.0899999999999"/>
    <n v="4"/>
    <n v="0.2"/>
    <d v="2024-04-10T00:00:00"/>
    <n v="331.55"/>
    <s v="High Discount"/>
    <d v="2026-02-27T20:31:00"/>
    <x v="0"/>
    <x v="0"/>
  </r>
  <r>
    <s v="CUST012"/>
    <s v="Robert Anderson"/>
    <s v="West"/>
    <x v="1"/>
    <n v="1101.28"/>
    <n v="3"/>
    <n v="0.2"/>
    <d v="2024-04-11T00:00:00"/>
    <n v="440.51"/>
    <s v="High Discount"/>
    <d v="2026-02-27T20:31:00"/>
    <x v="0"/>
    <x v="1"/>
  </r>
  <r>
    <s v="CUST017"/>
    <s v="James Taylor"/>
    <s v="East"/>
    <x v="0"/>
    <n v="713.34"/>
    <n v="17"/>
    <n v="0"/>
    <d v="2024-04-14T00:00:00"/>
    <n v="285.33999999999997"/>
    <s v="No Discount"/>
    <d v="2026-02-27T20:31:00"/>
    <x v="1"/>
    <x v="2"/>
  </r>
  <r>
    <s v="CUST005"/>
    <s v="Robert Anderson"/>
    <s v="South"/>
    <x v="2"/>
    <n v="760.93"/>
    <n v="4"/>
    <n v="0.15"/>
    <d v="2024-04-14T00:00:00"/>
    <n v="161.69999999999999"/>
    <s v="Medium Discount"/>
    <d v="2026-02-27T20:31:00"/>
    <x v="1"/>
    <x v="3"/>
  </r>
  <r>
    <s v="CUST030"/>
    <s v="James Wilson"/>
    <s v="North"/>
    <x v="0"/>
    <n v="847"/>
    <n v="12"/>
    <n v="0.2"/>
    <d v="2024-04-15T00:00:00"/>
    <n v="271.04000000000002"/>
    <s v="High Discount"/>
    <d v="2026-02-27T20:31:00"/>
    <x v="1"/>
    <x v="4"/>
  </r>
  <r>
    <s v="CUST007"/>
    <s v="Michael Anderson"/>
    <s v="North"/>
    <x v="3"/>
    <n v="965.64"/>
    <n v="8"/>
    <n v="0.1"/>
    <d v="2024-04-16T00:00:00"/>
    <n v="304.18"/>
    <s v="Low Discount"/>
    <d v="2026-02-27T20:31:00"/>
    <x v="1"/>
    <x v="5"/>
  </r>
  <r>
    <s v="CUST001"/>
    <s v="Linda Wilson"/>
    <s v="West"/>
    <x v="2"/>
    <n v="1317.53"/>
    <n v="12"/>
    <n v="0.05"/>
    <d v="2024-04-16T00:00:00"/>
    <n v="312.91000000000003"/>
    <s v="Low Discount"/>
    <d v="2026-02-27T20:31:00"/>
    <x v="0"/>
    <x v="6"/>
  </r>
  <r>
    <s v="CUST026"/>
    <s v="Mary Davis"/>
    <s v="East"/>
    <x v="3"/>
    <n v="1074.47"/>
    <n v="6"/>
    <n v="0.2"/>
    <d v="2024-04-19T00:00:00"/>
    <n v="300.85000000000002"/>
    <s v="High Discount"/>
    <d v="2026-02-27T20:31:00"/>
    <x v="0"/>
    <x v="7"/>
  </r>
  <r>
    <s v="CUST009"/>
    <s v="Linda Jackson"/>
    <s v="Central"/>
    <x v="0"/>
    <n v="501.54"/>
    <n v="11"/>
    <n v="0.05"/>
    <d v="2024-04-19T00:00:00"/>
    <n v="190.59"/>
    <s v="Low Discount"/>
    <d v="2026-02-27T20:31:00"/>
    <x v="1"/>
    <x v="8"/>
  </r>
  <r>
    <s v="CUST010"/>
    <s v="David Thomas"/>
    <s v="Central"/>
    <x v="1"/>
    <n v="737.31"/>
    <n v="2"/>
    <n v="0.05"/>
    <d v="2024-04-19T00:00:00"/>
    <n v="350.22"/>
    <s v="Low Discount"/>
    <d v="2026-02-27T20:31:00"/>
    <x v="1"/>
    <x v="9"/>
  </r>
  <r>
    <s v="CUST014"/>
    <s v="Emma Davis"/>
    <s v="West"/>
    <x v="4"/>
    <n v="1572.82"/>
    <n v="6"/>
    <n v="0.05"/>
    <d v="2024-04-20T00:00:00"/>
    <n v="672.38"/>
    <s v="Low Discount"/>
    <d v="2026-02-27T20:31:00"/>
    <x v="0"/>
    <x v="10"/>
  </r>
  <r>
    <s v="CUST014"/>
    <s v="David Thomas"/>
    <s v="Central"/>
    <x v="0"/>
    <n v="1343.13"/>
    <n v="14"/>
    <n v="0.15"/>
    <d v="2024-04-22T00:00:00"/>
    <n v="456.66"/>
    <s v="Medium Discount"/>
    <d v="2026-02-27T20:31:00"/>
    <x v="0"/>
    <x v="11"/>
  </r>
  <r>
    <s v="CUST007"/>
    <s v="Michael Anderson"/>
    <s v="Central"/>
    <x v="0"/>
    <n v="1191.58"/>
    <n v="14"/>
    <n v="0.05"/>
    <d v="2024-04-24T00:00:00"/>
    <n v="452.8"/>
    <s v="Low Discount"/>
    <d v="2026-02-27T20:31:00"/>
    <x v="0"/>
    <x v="12"/>
  </r>
  <r>
    <s v="CUST023"/>
    <s v="Robert Anderson"/>
    <s v="West"/>
    <x v="3"/>
    <n v="822.28"/>
    <n v="7"/>
    <n v="0.05"/>
    <d v="2024-04-24T00:00:00"/>
    <n v="273.41000000000003"/>
    <s v="Low Discount"/>
    <d v="2026-02-27T20:31:00"/>
    <x v="1"/>
    <x v="13"/>
  </r>
  <r>
    <s v="CUST029"/>
    <s v="David Smith"/>
    <s v="North"/>
    <x v="3"/>
    <n v="521.66999999999996"/>
    <n v="15"/>
    <n v="0.15"/>
    <d v="2024-04-27T00:00:00"/>
    <n v="155.19999999999999"/>
    <s v="Medium Discount"/>
    <d v="2026-02-27T20:31:00"/>
    <x v="1"/>
    <x v="14"/>
  </r>
  <r>
    <s v="CUST005"/>
    <s v="Sarah Anderson"/>
    <s v="South"/>
    <x v="2"/>
    <n v="1502.93"/>
    <n v="14"/>
    <n v="0.2"/>
    <d v="2024-04-28T00:00:00"/>
    <n v="300.58999999999997"/>
    <s v="High Discount"/>
    <d v="2026-02-27T20:31:00"/>
    <x v="0"/>
    <x v="15"/>
  </r>
  <r>
    <s v="CUST008"/>
    <s v="Robert Anderson"/>
    <s v="South"/>
    <x v="0"/>
    <n v="877.58"/>
    <n v="10"/>
    <n v="0.15"/>
    <d v="2024-04-29T00:00:00"/>
    <n v="298.38"/>
    <s v="Medium Discount"/>
    <d v="2026-02-27T20:31:00"/>
    <x v="1"/>
    <x v="16"/>
  </r>
  <r>
    <s v="CUST001"/>
    <s v="Lisa Thomas"/>
    <s v="West"/>
    <x v="0"/>
    <n v="636.70000000000005"/>
    <n v="4"/>
    <n v="0.2"/>
    <d v="2024-04-29T00:00:00"/>
    <n v="203.74"/>
    <s v="High Discount"/>
    <d v="2026-02-27T20:31:00"/>
    <x v="1"/>
    <x v="17"/>
  </r>
  <r>
    <s v="CUST006"/>
    <s v="Mary Jackson"/>
    <s v="West"/>
    <x v="0"/>
    <n v="1506.14"/>
    <n v="13"/>
    <n v="0.2"/>
    <d v="2024-04-30T00:00:00"/>
    <n v="481.96"/>
    <s v="High Discount"/>
    <d v="2026-02-27T20:31:00"/>
    <x v="0"/>
    <x v="18"/>
  </r>
  <r>
    <s v="CUST026"/>
    <s v="Mary Davis"/>
    <s v="Central"/>
    <x v="2"/>
    <n v="645.02"/>
    <n v="4"/>
    <n v="0"/>
    <d v="2024-05-02T00:00:00"/>
    <n v="161.26"/>
    <s v="No Discount"/>
    <d v="2026-02-27T20:31:00"/>
    <x v="1"/>
    <x v="19"/>
  </r>
  <r>
    <s v="CUST007"/>
    <s v="Lisa Davis"/>
    <s v="South"/>
    <x v="1"/>
    <n v="953.3"/>
    <n v="11"/>
    <n v="0"/>
    <d v="2024-05-03T00:00:00"/>
    <n v="476.65"/>
    <s v="No Discount"/>
    <d v="2026-02-27T20:31:00"/>
    <x v="1"/>
    <x v="20"/>
  </r>
  <r>
    <s v="CUST022"/>
    <s v="Robert Anderson"/>
    <s v="North"/>
    <x v="2"/>
    <n v="388.56"/>
    <n v="14"/>
    <n v="0.15"/>
    <d v="2024-05-04T00:00:00"/>
    <n v="82.57"/>
    <s v="Medium Discount"/>
    <d v="2026-02-27T20:31:00"/>
    <x v="1"/>
    <x v="21"/>
  </r>
  <r>
    <s v="CUST019"/>
    <s v="Mary Davis"/>
    <s v="West"/>
    <x v="0"/>
    <n v="743.17"/>
    <n v="9"/>
    <n v="0"/>
    <d v="2024-05-04T00:00:00"/>
    <n v="297.27"/>
    <s v="No Discount"/>
    <d v="2026-02-27T20:31:00"/>
    <x v="1"/>
    <x v="22"/>
  </r>
  <r>
    <s v="CUST023"/>
    <s v="Mary Davis"/>
    <s v="Central"/>
    <x v="2"/>
    <n v="706.37"/>
    <n v="6"/>
    <n v="0"/>
    <d v="2024-05-04T00:00:00"/>
    <n v="176.59"/>
    <s v="No Discount"/>
    <d v="2026-02-27T20:31:00"/>
    <x v="1"/>
    <x v="23"/>
  </r>
  <r>
    <s v="CUST012"/>
    <s v="Mary Davis"/>
    <s v="Central"/>
    <x v="4"/>
    <n v="925.31"/>
    <n v="8"/>
    <n v="0.1"/>
    <d v="2024-05-06T00:00:00"/>
    <n v="374.75"/>
    <s v="Low Discount"/>
    <d v="2026-02-27T20:31:00"/>
    <x v="1"/>
    <x v="24"/>
  </r>
  <r>
    <s v="CUST010"/>
    <s v="Linda Brown"/>
    <s v="South"/>
    <x v="2"/>
    <n v="1173.1199999999999"/>
    <n v="18"/>
    <n v="0"/>
    <d v="2024-05-06T00:00:00"/>
    <n v="293.27999999999997"/>
    <s v="No Discount"/>
    <d v="2026-02-27T20:31:00"/>
    <x v="0"/>
    <x v="25"/>
  </r>
  <r>
    <s v="CUST030"/>
    <s v="John Brown"/>
    <s v="North"/>
    <x v="3"/>
    <n v="675.54"/>
    <n v="17"/>
    <n v="0"/>
    <d v="2024-05-08T00:00:00"/>
    <n v="236.44"/>
    <s v="No Discount"/>
    <d v="2026-02-27T20:31:00"/>
    <x v="1"/>
    <x v="26"/>
  </r>
  <r>
    <s v="CUST007"/>
    <s v="Robert Anderson"/>
    <s v="Central"/>
    <x v="0"/>
    <n v="939.09"/>
    <n v="2"/>
    <n v="0.05"/>
    <d v="2024-05-10T00:00:00"/>
    <n v="356.85"/>
    <s v="Low Discount"/>
    <d v="2026-02-27T20:31:00"/>
    <x v="1"/>
    <x v="27"/>
  </r>
  <r>
    <s v="CUST028"/>
    <s v="Linda Taylor"/>
    <s v="East"/>
    <x v="4"/>
    <n v="983.34"/>
    <n v="19"/>
    <n v="0.1"/>
    <d v="2024-05-14T00:00:00"/>
    <n v="398.25"/>
    <s v="Low Discount"/>
    <d v="2026-02-27T20:31:00"/>
    <x v="1"/>
    <x v="28"/>
  </r>
  <r>
    <s v="CUST028"/>
    <s v="James Wilson"/>
    <s v="South"/>
    <x v="2"/>
    <n v="801.21"/>
    <n v="3"/>
    <n v="0.2"/>
    <d v="2024-05-14T00:00:00"/>
    <n v="160.24"/>
    <s v="High Discount"/>
    <d v="2026-02-27T20:31:00"/>
    <x v="1"/>
    <x v="29"/>
  </r>
  <r>
    <s v="CUST025"/>
    <s v="David Brown"/>
    <s v="North"/>
    <x v="2"/>
    <n v="1450.71"/>
    <n v="5"/>
    <n v="0.1"/>
    <d v="2024-05-15T00:00:00"/>
    <n v="326.41000000000003"/>
    <s v="Low Discount"/>
    <d v="2026-02-27T20:31:00"/>
    <x v="0"/>
    <x v="30"/>
  </r>
  <r>
    <s v="CUST022"/>
    <s v="David Davis"/>
    <s v="Central"/>
    <x v="0"/>
    <n v="1023.21"/>
    <n v="18"/>
    <n v="0.05"/>
    <d v="2024-05-16T00:00:00"/>
    <n v="388.82"/>
    <s v="Low Discount"/>
    <d v="2026-02-27T20:31:00"/>
    <x v="0"/>
    <x v="31"/>
  </r>
  <r>
    <s v="CUST001"/>
    <s v="Mary Jackson"/>
    <s v="West"/>
    <x v="3"/>
    <n v="853.72"/>
    <n v="5"/>
    <n v="0.15"/>
    <d v="2024-05-16T00:00:00"/>
    <n v="253.98"/>
    <s v="Medium Discount"/>
    <d v="2026-02-27T20:31:00"/>
    <x v="1"/>
    <x v="32"/>
  </r>
  <r>
    <s v="CUST021"/>
    <s v="Sarah Anderson"/>
    <s v="South"/>
    <x v="2"/>
    <n v="967.89"/>
    <n v="10"/>
    <n v="0.1"/>
    <d v="2024-05-17T00:00:00"/>
    <n v="217.78"/>
    <s v="Low Discount"/>
    <d v="2026-02-27T20:31:00"/>
    <x v="1"/>
    <x v="33"/>
  </r>
  <r>
    <s v="CUST015"/>
    <s v="Linda Taylor"/>
    <s v="North"/>
    <x v="4"/>
    <n v="1200.9000000000001"/>
    <n v="14"/>
    <n v="0.05"/>
    <d v="2024-05-17T00:00:00"/>
    <n v="513.38"/>
    <s v="Low Discount"/>
    <d v="2026-02-27T20:31:00"/>
    <x v="0"/>
    <x v="34"/>
  </r>
  <r>
    <s v="CUST012"/>
    <s v="Michael Anderson"/>
    <s v="West"/>
    <x v="0"/>
    <n v="472.38"/>
    <n v="12"/>
    <n v="0.2"/>
    <d v="2024-05-17T00:00:00"/>
    <n v="151.16"/>
    <s v="High Discount"/>
    <d v="2026-02-27T20:31:00"/>
    <x v="1"/>
    <x v="35"/>
  </r>
  <r>
    <s v="CUST019"/>
    <s v="David Brown"/>
    <s v="East"/>
    <x v="4"/>
    <n v="840.92"/>
    <n v="9"/>
    <n v="0.05"/>
    <d v="2024-05-17T00:00:00"/>
    <n v="359.49"/>
    <s v="Low Discount"/>
    <d v="2026-02-27T20:31:00"/>
    <x v="1"/>
    <x v="36"/>
  </r>
  <r>
    <s v="CUST028"/>
    <s v="Lisa Davis"/>
    <s v="Central"/>
    <x v="3"/>
    <n v="1410.06"/>
    <n v="11"/>
    <n v="0.05"/>
    <d v="2024-05-22T00:00:00"/>
    <n v="468.84"/>
    <s v="Low Discount"/>
    <d v="2026-02-27T20:31:00"/>
    <x v="0"/>
    <x v="37"/>
  </r>
  <r>
    <s v="CUST008"/>
    <s v="Mary Wilson"/>
    <s v="Central"/>
    <x v="3"/>
    <n v="773.09"/>
    <n v="13"/>
    <n v="0.15"/>
    <d v="2024-05-22T00:00:00"/>
    <n v="229.99"/>
    <s v="Medium Discount"/>
    <d v="2026-02-27T20:31:00"/>
    <x v="1"/>
    <x v="38"/>
  </r>
  <r>
    <s v="CUST016"/>
    <s v="Emma Wilson"/>
    <s v="East"/>
    <x v="0"/>
    <n v="580.42999999999995"/>
    <n v="19"/>
    <n v="0.15"/>
    <d v="2024-05-23T00:00:00"/>
    <n v="197.35"/>
    <s v="Medium Discount"/>
    <d v="2026-02-27T20:31:00"/>
    <x v="1"/>
    <x v="39"/>
  </r>
  <r>
    <s v="CUST005"/>
    <s v="David Smith"/>
    <s v="South"/>
    <x v="0"/>
    <n v="1151.21"/>
    <n v="15"/>
    <n v="0.1"/>
    <d v="2024-06-02T00:00:00"/>
    <n v="414.44"/>
    <s v="Low Discount"/>
    <d v="2026-02-27T20:31:00"/>
    <x v="0"/>
    <x v="40"/>
  </r>
  <r>
    <s v="CUST028"/>
    <s v="James Wilson"/>
    <s v="Central"/>
    <x v="4"/>
    <n v="1025.98"/>
    <n v="5"/>
    <n v="0.2"/>
    <d v="2024-06-04T00:00:00"/>
    <n v="369.35"/>
    <s v="High Discount"/>
    <d v="2026-02-27T20:31:00"/>
    <x v="0"/>
    <x v="41"/>
  </r>
  <r>
    <s v="CUST023"/>
    <s v="David Davis"/>
    <s v="East"/>
    <x v="4"/>
    <n v="556.41999999999996"/>
    <n v="11"/>
    <n v="0.15"/>
    <d v="2024-06-04T00:00:00"/>
    <n v="212.83"/>
    <s v="Medium Discount"/>
    <d v="2026-02-27T20:31:00"/>
    <x v="1"/>
    <x v="42"/>
  </r>
  <r>
    <s v="CUST021"/>
    <s v="James Wilson"/>
    <s v="Central"/>
    <x v="0"/>
    <n v="840.85"/>
    <n v="19"/>
    <n v="0.1"/>
    <d v="2024-06-05T00:00:00"/>
    <n v="302.70999999999998"/>
    <s v="Low Discount"/>
    <d v="2026-02-27T20:31:00"/>
    <x v="1"/>
    <x v="43"/>
  </r>
  <r>
    <s v="CUST026"/>
    <s v="Emma Wilson"/>
    <s v="North"/>
    <x v="3"/>
    <n v="1227.25"/>
    <n v="12"/>
    <n v="0.15"/>
    <d v="2024-06-05T00:00:00"/>
    <n v="365.11"/>
    <s v="Medium Discount"/>
    <d v="2026-02-27T20:31:00"/>
    <x v="0"/>
    <x v="44"/>
  </r>
  <r>
    <s v="CUST017"/>
    <s v="Linda Davis"/>
    <s v="Central"/>
    <x v="2"/>
    <n v="856.7"/>
    <n v="2"/>
    <n v="0"/>
    <d v="2024-06-06T00:00:00"/>
    <n v="214.18"/>
    <s v="No Discount"/>
    <d v="2026-02-27T20:31:00"/>
    <x v="1"/>
    <x v="45"/>
  </r>
  <r>
    <s v="CUST025"/>
    <s v="David Davis"/>
    <s v="Central"/>
    <x v="4"/>
    <n v="1225.42"/>
    <n v="8"/>
    <n v="0.15"/>
    <d v="2024-06-06T00:00:00"/>
    <n v="468.72"/>
    <s v="Medium Discount"/>
    <d v="2026-02-27T20:31:00"/>
    <x v="0"/>
    <x v="46"/>
  </r>
  <r>
    <s v="CUST011"/>
    <s v="Mary Davis"/>
    <s v="North"/>
    <x v="4"/>
    <n v="1001.57"/>
    <n v="12"/>
    <n v="0"/>
    <d v="2024-06-07T00:00:00"/>
    <n v="450.71"/>
    <s v="No Discount"/>
    <d v="2026-02-27T20:31:00"/>
    <x v="0"/>
    <x v="47"/>
  </r>
  <r>
    <s v="CUST021"/>
    <s v="Michael Anderson"/>
    <s v="East"/>
    <x v="3"/>
    <n v="1186.8499999999999"/>
    <n v="19"/>
    <n v="0.2"/>
    <d v="2024-06-08T00:00:00"/>
    <n v="332.32"/>
    <s v="High Discount"/>
    <d v="2026-02-27T20:31:00"/>
    <x v="0"/>
    <x v="48"/>
  </r>
  <r>
    <s v="CUST008"/>
    <s v="John Brown"/>
    <s v="South"/>
    <x v="2"/>
    <n v="775.45"/>
    <n v="6"/>
    <n v="0.1"/>
    <d v="2024-06-14T00:00:00"/>
    <n v="174.48"/>
    <s v="Low Discount"/>
    <d v="2026-02-27T20:31:00"/>
    <x v="1"/>
    <x v="49"/>
  </r>
  <r>
    <s v="CUST007"/>
    <s v="Linda Jackson"/>
    <s v="South"/>
    <x v="2"/>
    <n v="1021.47"/>
    <n v="6"/>
    <n v="0.05"/>
    <d v="2024-06-18T00:00:00"/>
    <n v="242.6"/>
    <s v="Low Discount"/>
    <d v="2026-02-27T20:31:00"/>
    <x v="0"/>
    <x v="50"/>
  </r>
  <r>
    <s v="CUST015"/>
    <s v="James Wilson"/>
    <s v="South"/>
    <x v="1"/>
    <n v="1226.6199999999999"/>
    <n v="7"/>
    <n v="0.1"/>
    <d v="2024-06-20T00:00:00"/>
    <n v="551.98"/>
    <s v="Low Discount"/>
    <d v="2026-02-27T20:31:00"/>
    <x v="0"/>
    <x v="51"/>
  </r>
  <r>
    <s v="CUST030"/>
    <s v="Sarah Davis"/>
    <s v="South"/>
    <x v="3"/>
    <n v="1086.93"/>
    <n v="2"/>
    <n v="0"/>
    <d v="2024-06-21T00:00:00"/>
    <n v="380.43"/>
    <s v="No Discount"/>
    <d v="2026-02-27T20:31:00"/>
    <x v="0"/>
    <x v="52"/>
  </r>
  <r>
    <s v="CUST002"/>
    <s v="Lisa Davis"/>
    <s v="West"/>
    <x v="0"/>
    <n v="942.9"/>
    <n v="18"/>
    <n v="0.1"/>
    <d v="2024-06-23T00:00:00"/>
    <n v="339.44"/>
    <s v="Low Discount"/>
    <d v="2026-02-27T20:31:00"/>
    <x v="1"/>
    <x v="53"/>
  </r>
  <r>
    <s v="CUST009"/>
    <s v="Emma Davis"/>
    <s v="North"/>
    <x v="2"/>
    <n v="818.8"/>
    <n v="15"/>
    <n v="0.15"/>
    <d v="2024-06-25T00:00:00"/>
    <n v="173.99"/>
    <s v="Medium Discount"/>
    <d v="2026-02-27T20:31:00"/>
    <x v="1"/>
    <x v="54"/>
  </r>
  <r>
    <s v="CUST005"/>
    <s v="Robert Anderson"/>
    <s v="South"/>
    <x v="3"/>
    <n v="919.04"/>
    <n v="10"/>
    <n v="0.2"/>
    <d v="2024-06-25T00:00:00"/>
    <n v="257.33"/>
    <s v="High Discount"/>
    <d v="2026-02-27T20:31:00"/>
    <x v="1"/>
    <x v="55"/>
  </r>
  <r>
    <s v="CUST030"/>
    <s v="Emma Taylor"/>
    <s v="Central"/>
    <x v="0"/>
    <n v="973.26"/>
    <n v="11"/>
    <n v="0"/>
    <d v="2024-06-27T00:00:00"/>
    <n v="389.3"/>
    <s v="No Discount"/>
    <d v="2026-02-27T20:31:00"/>
    <x v="1"/>
    <x v="56"/>
  </r>
  <r>
    <s v="CUST029"/>
    <s v="Sarah Davis"/>
    <s v="North"/>
    <x v="2"/>
    <n v="741.61"/>
    <n v="1"/>
    <n v="0.2"/>
    <d v="2024-06-28T00:00:00"/>
    <n v="148.32"/>
    <s v="High Discount"/>
    <d v="2026-02-27T20:31:00"/>
    <x v="1"/>
    <x v="57"/>
  </r>
  <r>
    <s v="CUST003"/>
    <s v="Emma Davis"/>
    <s v="North"/>
    <x v="0"/>
    <n v="1248.82"/>
    <n v="2"/>
    <n v="0.1"/>
    <d v="2024-06-30T00:00:00"/>
    <n v="449.58"/>
    <s v="Low Discount"/>
    <d v="2026-02-27T20:31:00"/>
    <x v="0"/>
    <x v="58"/>
  </r>
  <r>
    <s v="CUST012"/>
    <s v="Mary Wilson"/>
    <s v="West"/>
    <x v="1"/>
    <n v="1360.36"/>
    <n v="17"/>
    <n v="0"/>
    <d v="2024-06-30T00:00:00"/>
    <n v="680.18"/>
    <s v="No Discount"/>
    <d v="2026-02-27T20:31:00"/>
    <x v="0"/>
    <x v="20"/>
  </r>
  <r>
    <s v="CUST021"/>
    <s v="Mary Davis"/>
    <s v="East"/>
    <x v="0"/>
    <n v="1383.3"/>
    <n v="8"/>
    <n v="0.1"/>
    <d v="2024-07-05T00:00:00"/>
    <n v="497.99"/>
    <s v="Low Discount"/>
    <d v="2026-02-27T20:31:00"/>
    <x v="0"/>
    <x v="59"/>
  </r>
  <r>
    <s v="CUST010"/>
    <s v="David Brown"/>
    <s v="Central"/>
    <x v="4"/>
    <n v="488.99"/>
    <n v="9"/>
    <n v="0"/>
    <d v="2024-07-06T00:00:00"/>
    <n v="220.05"/>
    <s v="No Discount"/>
    <d v="2026-02-27T20:31:00"/>
    <x v="1"/>
    <x v="60"/>
  </r>
  <r>
    <s v="CUST026"/>
    <s v="Mary Davis"/>
    <s v="East"/>
    <x v="3"/>
    <n v="933.71"/>
    <n v="17"/>
    <n v="0.1"/>
    <d v="2024-07-08T00:00:00"/>
    <n v="294.12"/>
    <s v="Low Discount"/>
    <d v="2026-02-27T20:31:00"/>
    <x v="1"/>
    <x v="61"/>
  </r>
  <r>
    <s v="CUST003"/>
    <s v="James Davis"/>
    <s v="West"/>
    <x v="2"/>
    <n v="1005.53"/>
    <n v="17"/>
    <n v="0.2"/>
    <d v="2024-07-08T00:00:00"/>
    <n v="201.11"/>
    <s v="High Discount"/>
    <d v="2026-02-27T20:31:00"/>
    <x v="0"/>
    <x v="62"/>
  </r>
  <r>
    <s v="CUST029"/>
    <s v="Emma Wilson"/>
    <s v="South"/>
    <x v="2"/>
    <n v="1100.0999999999999"/>
    <n v="5"/>
    <n v="0.05"/>
    <d v="2024-07-09T00:00:00"/>
    <n v="261.27"/>
    <s v="Low Discount"/>
    <d v="2026-02-27T20:31:00"/>
    <x v="0"/>
    <x v="63"/>
  </r>
  <r>
    <s v="CUST003"/>
    <s v="James Wilson"/>
    <s v="North"/>
    <x v="3"/>
    <n v="1034.7"/>
    <n v="15"/>
    <n v="0.15"/>
    <d v="2024-07-14T00:00:00"/>
    <n v="307.82"/>
    <s v="Medium Discount"/>
    <d v="2026-02-27T20:31:00"/>
    <x v="0"/>
    <x v="64"/>
  </r>
  <r>
    <s v="CUST002"/>
    <s v="Mary Davis"/>
    <s v="South"/>
    <x v="0"/>
    <n v="876.44"/>
    <n v="12"/>
    <n v="0.05"/>
    <d v="2024-07-15T00:00:00"/>
    <n v="333.05"/>
    <s v="Low Discount"/>
    <d v="2026-02-27T20:31:00"/>
    <x v="1"/>
    <x v="65"/>
  </r>
  <r>
    <s v="CUST020"/>
    <s v="David Brown"/>
    <s v="West"/>
    <x v="3"/>
    <n v="1371.34"/>
    <n v="5"/>
    <n v="0.05"/>
    <d v="2024-07-15T00:00:00"/>
    <n v="455.97"/>
    <s v="Low Discount"/>
    <d v="2026-02-27T20:31:00"/>
    <x v="0"/>
    <x v="66"/>
  </r>
  <r>
    <s v="CUST021"/>
    <s v="Mary Jackson"/>
    <s v="North"/>
    <x v="2"/>
    <n v="1020.26"/>
    <n v="11"/>
    <n v="0.05"/>
    <d v="2024-07-21T00:00:00"/>
    <n v="242.31"/>
    <s v="Low Discount"/>
    <d v="2026-02-27T20:31:00"/>
    <x v="0"/>
    <x v="67"/>
  </r>
  <r>
    <s v="CUST008"/>
    <s v="James Davis"/>
    <s v="Central"/>
    <x v="4"/>
    <n v="804.81"/>
    <n v="1"/>
    <n v="0.05"/>
    <d v="2024-07-29T00:00:00"/>
    <n v="344.06"/>
    <s v="Low Discount"/>
    <d v="2026-02-27T20:31:00"/>
    <x v="1"/>
    <x v="68"/>
  </r>
  <r>
    <s v="CUST030"/>
    <s v="David Brown"/>
    <s v="Central"/>
    <x v="2"/>
    <n v="608.66"/>
    <n v="1"/>
    <n v="0.05"/>
    <d v="2024-07-30T00:00:00"/>
    <n v="144.56"/>
    <s v="Low Discount"/>
    <d v="2026-02-27T20:31:00"/>
    <x v="1"/>
    <x v="69"/>
  </r>
  <r>
    <s v="CUST020"/>
    <s v="Linda Moore"/>
    <s v="South"/>
    <x v="4"/>
    <n v="981.2"/>
    <n v="19"/>
    <n v="0"/>
    <d v="2024-07-31T00:00:00"/>
    <n v="441.54"/>
    <s v="No Discount"/>
    <d v="2026-02-27T20:31:00"/>
    <x v="1"/>
    <x v="70"/>
  </r>
  <r>
    <s v="CUST024"/>
    <s v="David Brown"/>
    <s v="East"/>
    <x v="2"/>
    <n v="539.77"/>
    <n v="10"/>
    <n v="0.15"/>
    <d v="2024-08-05T00:00:00"/>
    <n v="114.7"/>
    <s v="Medium Discount"/>
    <d v="2026-02-27T20:31:00"/>
    <x v="1"/>
    <x v="71"/>
  </r>
  <r>
    <s v="CUST012"/>
    <s v="David Anderson"/>
    <s v="South"/>
    <x v="0"/>
    <n v="804.45"/>
    <n v="5"/>
    <n v="0.2"/>
    <d v="2024-08-05T00:00:00"/>
    <n v="257.42"/>
    <s v="High Discount"/>
    <d v="2026-02-27T20:31:00"/>
    <x v="1"/>
    <x v="72"/>
  </r>
  <r>
    <s v="CUST024"/>
    <s v="Emma Davis"/>
    <s v="West"/>
    <x v="2"/>
    <n v="1526.6"/>
    <n v="13"/>
    <n v="0.2"/>
    <d v="2024-08-08T00:00:00"/>
    <n v="305.32"/>
    <s v="High Discount"/>
    <d v="2026-02-27T20:31:00"/>
    <x v="0"/>
    <x v="73"/>
  </r>
  <r>
    <s v="CUST012"/>
    <s v="Linda Wilson"/>
    <s v="West"/>
    <x v="2"/>
    <n v="1215.26"/>
    <n v="5"/>
    <n v="0.15"/>
    <d v="2024-08-09T00:00:00"/>
    <n v="258.24"/>
    <s v="Medium Discount"/>
    <d v="2026-02-27T20:31:00"/>
    <x v="0"/>
    <x v="74"/>
  </r>
  <r>
    <s v="CUST005"/>
    <s v="Linda Taylor"/>
    <s v="Central"/>
    <x v="3"/>
    <n v="1261.3399999999999"/>
    <n v="3"/>
    <n v="0"/>
    <d v="2024-08-15T00:00:00"/>
    <n v="441.47"/>
    <s v="No Discount"/>
    <d v="2026-02-27T20:31:00"/>
    <x v="0"/>
    <x v="75"/>
  </r>
  <r>
    <s v="CUST004"/>
    <s v="Lisa Thomas"/>
    <s v="North"/>
    <x v="3"/>
    <n v="518.07000000000005"/>
    <n v="7"/>
    <n v="0.05"/>
    <d v="2024-08-18T00:00:00"/>
    <n v="172.26"/>
    <s v="Low Discount"/>
    <d v="2026-02-27T20:31:00"/>
    <x v="1"/>
    <x v="76"/>
  </r>
  <r>
    <s v="CUST026"/>
    <s v="Linda Wilson"/>
    <s v="West"/>
    <x v="4"/>
    <n v="1111.3399999999999"/>
    <n v="1"/>
    <n v="0"/>
    <d v="2024-08-19T00:00:00"/>
    <n v="500.1"/>
    <s v="No Discount"/>
    <d v="2026-02-27T20:31:00"/>
    <x v="0"/>
    <x v="77"/>
  </r>
  <r>
    <s v="CUST030"/>
    <s v="Mary Davis"/>
    <s v="East"/>
    <x v="1"/>
    <n v="1291.47"/>
    <n v="18"/>
    <n v="0.1"/>
    <d v="2024-08-22T00:00:00"/>
    <n v="581.16"/>
    <s v="Low Discount"/>
    <d v="2026-02-27T20:31:00"/>
    <x v="0"/>
    <x v="78"/>
  </r>
  <r>
    <s v="CUST007"/>
    <s v="David Brown"/>
    <s v="North"/>
    <x v="0"/>
    <n v="679.71"/>
    <n v="19"/>
    <n v="0"/>
    <d v="2024-08-30T00:00:00"/>
    <n v="271.88"/>
    <s v="No Discount"/>
    <d v="2026-02-27T20:31:00"/>
    <x v="1"/>
    <x v="79"/>
  </r>
  <r>
    <s v="CUST020"/>
    <s v="Linda Jackson"/>
    <s v="East"/>
    <x v="3"/>
    <n v="1143.69"/>
    <n v="17"/>
    <n v="0"/>
    <d v="2024-08-30T00:00:00"/>
    <n v="400.29"/>
    <s v="No Discount"/>
    <d v="2026-02-27T20:31:00"/>
    <x v="0"/>
    <x v="80"/>
  </r>
  <r>
    <s v="CUST028"/>
    <s v="Linda Brown"/>
    <s v="Central"/>
    <x v="2"/>
    <n v="790.08"/>
    <n v="7"/>
    <n v="0.1"/>
    <d v="2024-09-01T00:00:00"/>
    <n v="177.77"/>
    <s v="Low Discount"/>
    <d v="2026-02-27T20:31:00"/>
    <x v="1"/>
    <x v="81"/>
  </r>
  <r>
    <s v="CUST005"/>
    <s v="Lisa Davis"/>
    <s v="Central"/>
    <x v="0"/>
    <n v="1070.68"/>
    <n v="7"/>
    <n v="0.05"/>
    <d v="2024-09-01T00:00:00"/>
    <n v="406.86"/>
    <s v="Low Discount"/>
    <d v="2026-02-27T20:31:00"/>
    <x v="0"/>
    <x v="82"/>
  </r>
  <r>
    <s v="CUST015"/>
    <s v="David Thomas"/>
    <s v="West"/>
    <x v="1"/>
    <n v="1168.8900000000001"/>
    <n v="4"/>
    <n v="0.1"/>
    <d v="2024-09-09T00:00:00"/>
    <n v="526"/>
    <s v="Low Discount"/>
    <d v="2026-02-27T20:31:00"/>
    <x v="0"/>
    <x v="83"/>
  </r>
  <r>
    <s v="CUST003"/>
    <s v="James Davis"/>
    <s v="South"/>
    <x v="2"/>
    <n v="1335.87"/>
    <n v="17"/>
    <n v="0"/>
    <d v="2024-09-09T00:00:00"/>
    <n v="333.97"/>
    <s v="No Discount"/>
    <d v="2026-02-27T20:31:00"/>
    <x v="0"/>
    <x v="84"/>
  </r>
  <r>
    <s v="CUST023"/>
    <s v="David Brown"/>
    <s v="East"/>
    <x v="3"/>
    <n v="873.7"/>
    <n v="9"/>
    <n v="0"/>
    <d v="2024-09-11T00:00:00"/>
    <n v="305.8"/>
    <s v="No Discount"/>
    <d v="2026-02-27T20:31:00"/>
    <x v="1"/>
    <x v="85"/>
  </r>
  <r>
    <s v="CUST004"/>
    <s v="Sarah Davis"/>
    <s v="West"/>
    <x v="4"/>
    <n v="1443.98"/>
    <n v="19"/>
    <n v="0"/>
    <d v="2024-09-12T00:00:00"/>
    <n v="649.79"/>
    <s v="No Discount"/>
    <d v="2026-02-27T20:31:00"/>
    <x v="0"/>
    <x v="86"/>
  </r>
  <r>
    <s v="CUST023"/>
    <s v="James Wilson"/>
    <s v="East"/>
    <x v="4"/>
    <n v="1154.33"/>
    <n v="11"/>
    <n v="0.15"/>
    <d v="2024-09-14T00:00:00"/>
    <n v="441.53"/>
    <s v="Medium Discount"/>
    <d v="2026-02-27T20:31:00"/>
    <x v="0"/>
    <x v="87"/>
  </r>
  <r>
    <s v="CUST022"/>
    <s v="Linda Brown"/>
    <s v="South"/>
    <x v="0"/>
    <n v="1264.49"/>
    <n v="16"/>
    <n v="0.05"/>
    <d v="2024-09-14T00:00:00"/>
    <n v="480.51"/>
    <s v="Low Discount"/>
    <d v="2026-02-27T20:31:00"/>
    <x v="0"/>
    <x v="88"/>
  </r>
  <r>
    <s v="CUST007"/>
    <s v="Emma Taylor"/>
    <s v="West"/>
    <x v="3"/>
    <n v="1101.55"/>
    <n v="4"/>
    <n v="0.1"/>
    <d v="2024-09-16T00:00:00"/>
    <n v="346.99"/>
    <s v="Low Discount"/>
    <d v="2026-02-27T20:31:00"/>
    <x v="0"/>
    <x v="89"/>
  </r>
  <r>
    <s v="CUST013"/>
    <s v="Robert Anderson"/>
    <s v="South"/>
    <x v="3"/>
    <n v="727.73"/>
    <n v="1"/>
    <n v="0.1"/>
    <d v="2024-09-17T00:00:00"/>
    <n v="229.23"/>
    <s v="Low Discount"/>
    <d v="2026-02-27T20:31:00"/>
    <x v="1"/>
    <x v="90"/>
  </r>
  <r>
    <s v="CUST027"/>
    <s v="Emma Davis"/>
    <s v="East"/>
    <x v="4"/>
    <n v="875.41"/>
    <n v="13"/>
    <n v="0.15"/>
    <d v="2024-09-17T00:00:00"/>
    <n v="334.84"/>
    <s v="Medium Discount"/>
    <d v="2026-02-27T20:31:00"/>
    <x v="1"/>
    <x v="91"/>
  </r>
  <r>
    <s v="CUST003"/>
    <s v="James Wilson"/>
    <s v="West"/>
    <x v="2"/>
    <n v="1158.94"/>
    <n v="19"/>
    <n v="0.2"/>
    <d v="2024-09-18T00:00:00"/>
    <n v="231.79"/>
    <s v="High Discount"/>
    <d v="2026-02-27T20:31:00"/>
    <x v="0"/>
    <x v="92"/>
  </r>
  <r>
    <s v="CUST018"/>
    <s v="Mary Jackson"/>
    <s v="South"/>
    <x v="0"/>
    <n v="966.3"/>
    <n v="2"/>
    <n v="0.15"/>
    <d v="2024-09-22T00:00:00"/>
    <n v="328.54"/>
    <s v="Medium Discount"/>
    <d v="2026-02-27T20:31:00"/>
    <x v="1"/>
    <x v="93"/>
  </r>
  <r>
    <s v="CUST020"/>
    <s v="James Taylor"/>
    <s v="South"/>
    <x v="0"/>
    <n v="917.48"/>
    <n v="6"/>
    <n v="0"/>
    <d v="2024-09-23T00:00:00"/>
    <n v="366.99"/>
    <s v="No Discount"/>
    <d v="2026-02-27T20:31:00"/>
    <x v="1"/>
    <x v="94"/>
  </r>
  <r>
    <s v="CUST029"/>
    <s v="Emma Wilson"/>
    <s v="West"/>
    <x v="3"/>
    <n v="1172.97"/>
    <n v="7"/>
    <n v="0.15"/>
    <d v="2024-09-24T00:00:00"/>
    <n v="348.96"/>
    <s v="Medium Discount"/>
    <d v="2026-02-27T20:31:00"/>
    <x v="0"/>
    <x v="95"/>
  </r>
  <r>
    <s v="CUST021"/>
    <s v="James Wilson"/>
    <s v="North"/>
    <x v="1"/>
    <n v="1205.82"/>
    <n v="11"/>
    <n v="0.1"/>
    <d v="2024-09-24T00:00:00"/>
    <n v="542.62"/>
    <s v="Low Discount"/>
    <d v="2026-02-27T20:31:00"/>
    <x v="0"/>
    <x v="96"/>
  </r>
  <r>
    <s v="CUST017"/>
    <s v="Sarah Davis"/>
    <s v="West"/>
    <x v="4"/>
    <n v="826.93"/>
    <n v="10"/>
    <n v="0.2"/>
    <d v="2024-09-29T00:00:00"/>
    <n v="297.69"/>
    <s v="High Discount"/>
    <d v="2026-02-27T20:31:00"/>
    <x v="1"/>
    <x v="97"/>
  </r>
  <r>
    <s v="CUST003"/>
    <s v="James Wilson"/>
    <s v="Central"/>
    <x v="1"/>
    <n v="902.19"/>
    <n v="12"/>
    <n v="0"/>
    <d v="2024-09-29T00:00:00"/>
    <n v="451.1"/>
    <s v="No Discount"/>
    <d v="2026-02-27T20:31:00"/>
    <x v="1"/>
    <x v="98"/>
  </r>
  <r>
    <s v="CUST027"/>
    <s v="Emma Davis"/>
    <s v="North"/>
    <x v="0"/>
    <n v="585.97"/>
    <n v="17"/>
    <n v="0.1"/>
    <d v="2024-09-30T00:00:00"/>
    <n v="210.95"/>
    <s v="Low Discount"/>
    <d v="2026-02-27T20:31:00"/>
    <x v="1"/>
    <x v="99"/>
  </r>
  <r>
    <s v="CUST016"/>
    <s v="Michael Anderson"/>
    <s v="North"/>
    <x v="1"/>
    <n v="990.19"/>
    <n v="8"/>
    <n v="0.1"/>
    <d v="2024-09-30T00:00:00"/>
    <n v="445.59"/>
    <s v="Low Discount"/>
    <d v="2026-02-27T20:31:00"/>
    <x v="1"/>
    <x v="100"/>
  </r>
  <r>
    <s v="CUST008"/>
    <s v="David Davis"/>
    <s v="Central"/>
    <x v="2"/>
    <n v="1014.09"/>
    <n v="13"/>
    <n v="0.2"/>
    <d v="2024-10-02T00:00:00"/>
    <n v="202.82"/>
    <s v="High Discount"/>
    <d v="2026-02-27T20:31:00"/>
    <x v="0"/>
    <x v="101"/>
  </r>
  <r>
    <s v="CUST012"/>
    <s v="Lisa Davis"/>
    <s v="North"/>
    <x v="2"/>
    <n v="925.29"/>
    <n v="17"/>
    <n v="0"/>
    <d v="2024-10-05T00:00:00"/>
    <n v="231.32"/>
    <s v="No Discount"/>
    <d v="2026-02-27T20:31:00"/>
    <x v="1"/>
    <x v="102"/>
  </r>
  <r>
    <s v="CUST025"/>
    <s v="Mary Jackson"/>
    <s v="East"/>
    <x v="3"/>
    <n v="1286.54"/>
    <n v="8"/>
    <n v="0"/>
    <d v="2024-10-10T00:00:00"/>
    <n v="450.29"/>
    <s v="No Discount"/>
    <d v="2026-02-27T20:31:00"/>
    <x v="0"/>
    <x v="103"/>
  </r>
  <r>
    <s v="CUST014"/>
    <s v="Sarah Davis"/>
    <s v="South"/>
    <x v="0"/>
    <n v="961.62"/>
    <n v="8"/>
    <n v="0.2"/>
    <d v="2024-10-12T00:00:00"/>
    <n v="307.72000000000003"/>
    <s v="High Discount"/>
    <d v="2026-02-27T20:31:00"/>
    <x v="1"/>
    <x v="104"/>
  </r>
  <r>
    <s v="CUST008"/>
    <s v="James Wilson"/>
    <s v="East"/>
    <x v="0"/>
    <n v="1081.1400000000001"/>
    <n v="19"/>
    <n v="0.15"/>
    <d v="2024-10-12T00:00:00"/>
    <n v="367.59"/>
    <s v="Medium Discount"/>
    <d v="2026-02-27T20:31:00"/>
    <x v="0"/>
    <x v="105"/>
  </r>
  <r>
    <s v="CUST015"/>
    <s v="James Wilson"/>
    <s v="West"/>
    <x v="1"/>
    <n v="1923.66"/>
    <n v="9"/>
    <n v="0.2"/>
    <d v="2024-10-15T00:00:00"/>
    <n v="769.46"/>
    <s v="High Discount"/>
    <d v="2026-02-27T20:31:00"/>
    <x v="0"/>
    <x v="106"/>
  </r>
  <r>
    <s v="CUST025"/>
    <s v="Emma Taylor"/>
    <s v="Central"/>
    <x v="1"/>
    <n v="728.71"/>
    <n v="14"/>
    <n v="0.1"/>
    <d v="2024-10-16T00:00:00"/>
    <n v="327.92"/>
    <s v="Low Discount"/>
    <d v="2026-02-27T20:31:00"/>
    <x v="1"/>
    <x v="107"/>
  </r>
  <r>
    <s v="CUST019"/>
    <s v="Linda Jackson"/>
    <s v="Central"/>
    <x v="1"/>
    <n v="1301.8900000000001"/>
    <n v="7"/>
    <n v="0.15"/>
    <d v="2024-10-16T00:00:00"/>
    <n v="553.29999999999995"/>
    <s v="Medium Discount"/>
    <d v="2026-02-27T20:31:00"/>
    <x v="0"/>
    <x v="108"/>
  </r>
  <r>
    <s v="CUST024"/>
    <s v="Emma Taylor"/>
    <s v="East"/>
    <x v="0"/>
    <n v="980.18"/>
    <n v="16"/>
    <n v="0.1"/>
    <d v="2024-10-17T00:00:00"/>
    <n v="352.86"/>
    <s v="Low Discount"/>
    <d v="2026-02-27T20:31:00"/>
    <x v="1"/>
    <x v="109"/>
  </r>
  <r>
    <s v="CUST027"/>
    <s v="James Wilson"/>
    <s v="West"/>
    <x v="1"/>
    <n v="697.57"/>
    <n v="17"/>
    <n v="0.1"/>
    <d v="2024-10-19T00:00:00"/>
    <n v="313.91000000000003"/>
    <s v="Low Discount"/>
    <d v="2026-02-27T20:31:00"/>
    <x v="1"/>
    <x v="110"/>
  </r>
  <r>
    <s v="CUST006"/>
    <s v="David Anderson"/>
    <s v="West"/>
    <x v="3"/>
    <n v="1193.6099999999999"/>
    <n v="1"/>
    <n v="0.15"/>
    <d v="2024-10-19T00:00:00"/>
    <n v="355.1"/>
    <s v="Medium Discount"/>
    <d v="2026-02-27T20:31:00"/>
    <x v="0"/>
    <x v="111"/>
  </r>
  <r>
    <s v="CUST009"/>
    <s v="Emma Davis"/>
    <s v="South"/>
    <x v="2"/>
    <n v="771.02"/>
    <n v="1"/>
    <n v="0"/>
    <d v="2024-10-20T00:00:00"/>
    <n v="192.76"/>
    <s v="No Discount"/>
    <d v="2026-02-27T20:31:00"/>
    <x v="1"/>
    <x v="112"/>
  </r>
  <r>
    <s v="CUST003"/>
    <s v="Linda Moore"/>
    <s v="North"/>
    <x v="1"/>
    <n v="661.09"/>
    <n v="1"/>
    <n v="0.2"/>
    <d v="2024-10-28T00:00:00"/>
    <n v="264.44"/>
    <s v="High Discount"/>
    <d v="2026-02-27T20:31:00"/>
    <x v="1"/>
    <x v="113"/>
  </r>
  <r>
    <s v="CUST012"/>
    <s v="David Brown"/>
    <s v="West"/>
    <x v="2"/>
    <n v="688.83"/>
    <n v="15"/>
    <n v="0"/>
    <d v="2024-10-30T00:00:00"/>
    <n v="172.21"/>
    <s v="No Discount"/>
    <d v="2026-02-27T20:31:00"/>
    <x v="1"/>
    <x v="114"/>
  </r>
  <r>
    <s v="CUST013"/>
    <s v="Linda Wilson"/>
    <s v="Central"/>
    <x v="0"/>
    <n v="1249.0999999999999"/>
    <n v="4"/>
    <n v="0.05"/>
    <d v="2024-11-01T00:00:00"/>
    <n v="474.66"/>
    <s v="Low Discount"/>
    <d v="2026-02-27T20:31:00"/>
    <x v="0"/>
    <x v="115"/>
  </r>
  <r>
    <s v="CUST008"/>
    <s v="James Wilson"/>
    <s v="East"/>
    <x v="4"/>
    <n v="1014.22"/>
    <n v="14"/>
    <n v="0.05"/>
    <d v="2024-11-03T00:00:00"/>
    <n v="433.58"/>
    <s v="Low Discount"/>
    <d v="2026-02-27T20:31:00"/>
    <x v="0"/>
    <x v="116"/>
  </r>
  <r>
    <s v="CUST025"/>
    <s v="Lisa Davis"/>
    <s v="East"/>
    <x v="0"/>
    <n v="1010.58"/>
    <n v="2"/>
    <n v="0.15"/>
    <d v="2024-11-09T00:00:00"/>
    <n v="343.6"/>
    <s v="Medium Discount"/>
    <d v="2026-02-27T20:31:00"/>
    <x v="0"/>
    <x v="117"/>
  </r>
  <r>
    <s v="CUST026"/>
    <s v="Mary Wilson"/>
    <s v="North"/>
    <x v="3"/>
    <n v="957.29"/>
    <n v="4"/>
    <n v="0.05"/>
    <d v="2024-11-09T00:00:00"/>
    <n v="318.3"/>
    <s v="Low Discount"/>
    <d v="2026-02-27T20:31:00"/>
    <x v="1"/>
    <x v="118"/>
  </r>
  <r>
    <s v="CUST001"/>
    <s v="Lisa Thomas"/>
    <s v="North"/>
    <x v="3"/>
    <n v="1077.92"/>
    <n v="3"/>
    <n v="0.05"/>
    <d v="2024-11-12T00:00:00"/>
    <n v="358.41"/>
    <s v="Low Discount"/>
    <d v="2026-02-27T20:31:00"/>
    <x v="0"/>
    <x v="119"/>
  </r>
  <r>
    <s v="CUST028"/>
    <s v="Linda Brown"/>
    <s v="South"/>
    <x v="1"/>
    <n v="1163.01"/>
    <n v="5"/>
    <n v="0"/>
    <d v="2024-11-15T00:00:00"/>
    <n v="581.5"/>
    <s v="No Discount"/>
    <d v="2026-02-27T20:31:00"/>
    <x v="0"/>
    <x v="120"/>
  </r>
  <r>
    <s v="CUST025"/>
    <s v="Lisa Thomas"/>
    <s v="East"/>
    <x v="4"/>
    <n v="1014.56"/>
    <n v="10"/>
    <n v="0.1"/>
    <d v="2024-11-16T00:00:00"/>
    <n v="410.9"/>
    <s v="Low Discount"/>
    <d v="2026-02-27T20:31:00"/>
    <x v="0"/>
    <x v="121"/>
  </r>
  <r>
    <s v="CUST019"/>
    <s v="James Taylor"/>
    <s v="South"/>
    <x v="2"/>
    <n v="718.04"/>
    <n v="14"/>
    <n v="0"/>
    <d v="2024-11-17T00:00:00"/>
    <n v="179.51"/>
    <s v="No Discount"/>
    <d v="2026-02-27T20:31:00"/>
    <x v="1"/>
    <x v="25"/>
  </r>
  <r>
    <s v="CUST004"/>
    <s v="James Taylor"/>
    <s v="Central"/>
    <x v="1"/>
    <n v="1277.8499999999999"/>
    <n v="18"/>
    <n v="0.2"/>
    <d v="2024-11-17T00:00:00"/>
    <n v="511.14"/>
    <s v="High Discount"/>
    <d v="2026-02-27T20:31:00"/>
    <x v="0"/>
    <x v="122"/>
  </r>
  <r>
    <s v="CUST024"/>
    <s v="James Wilson"/>
    <s v="North"/>
    <x v="2"/>
    <n v="706.73"/>
    <n v="1"/>
    <n v="0.15"/>
    <d v="2024-11-17T00:00:00"/>
    <n v="150.18"/>
    <s v="Medium Discount"/>
    <d v="2026-02-27T20:31:00"/>
    <x v="1"/>
    <x v="123"/>
  </r>
  <r>
    <s v="CUST002"/>
    <s v="Linda Brown"/>
    <s v="East"/>
    <x v="2"/>
    <n v="1410.59"/>
    <n v="15"/>
    <n v="0"/>
    <d v="2024-11-19T00:00:00"/>
    <n v="352.65"/>
    <s v="No Discount"/>
    <d v="2026-02-27T20:31:00"/>
    <x v="0"/>
    <x v="124"/>
  </r>
  <r>
    <s v="CUST009"/>
    <s v="Emma Wilson"/>
    <s v="South"/>
    <x v="3"/>
    <n v="1350.33"/>
    <n v="10"/>
    <n v="0"/>
    <d v="2024-11-19T00:00:00"/>
    <n v="472.62"/>
    <s v="No Discount"/>
    <d v="2026-02-27T20:31:00"/>
    <x v="0"/>
    <x v="125"/>
  </r>
  <r>
    <s v="CUST029"/>
    <s v="Lisa Thomas"/>
    <s v="East"/>
    <x v="2"/>
    <n v="919.18"/>
    <n v="4"/>
    <n v="0.15"/>
    <d v="2024-11-19T00:00:00"/>
    <n v="195.33"/>
    <s v="Medium Discount"/>
    <d v="2026-02-27T20:31:00"/>
    <x v="1"/>
    <x v="126"/>
  </r>
  <r>
    <s v="CUST027"/>
    <s v="James Wilson"/>
    <s v="West"/>
    <x v="2"/>
    <n v="258.51"/>
    <n v="19"/>
    <n v="0"/>
    <d v="2024-11-20T00:00:00"/>
    <n v="64.63"/>
    <s v="No Discount"/>
    <d v="2026-02-27T20:31:00"/>
    <x v="1"/>
    <x v="127"/>
  </r>
  <r>
    <s v="CUST011"/>
    <s v="Emma Wilson"/>
    <s v="East"/>
    <x v="0"/>
    <n v="1213.48"/>
    <n v="5"/>
    <n v="0.05"/>
    <d v="2024-11-20T00:00:00"/>
    <n v="461.12"/>
    <s v="Low Discount"/>
    <d v="2026-02-27T20:31:00"/>
    <x v="0"/>
    <x v="128"/>
  </r>
  <r>
    <s v="CUST021"/>
    <s v="Emma Davis"/>
    <s v="Central"/>
    <x v="0"/>
    <n v="1150.28"/>
    <n v="8"/>
    <n v="0.05"/>
    <d v="2024-11-26T00:00:00"/>
    <n v="437.11"/>
    <s v="Low Discount"/>
    <d v="2026-02-27T20:31:00"/>
    <x v="0"/>
    <x v="129"/>
  </r>
  <r>
    <s v="CUST014"/>
    <s v="David Anderson"/>
    <s v="South"/>
    <x v="3"/>
    <n v="853.86"/>
    <n v="8"/>
    <n v="0.1"/>
    <d v="2024-11-26T00:00:00"/>
    <n v="268.97000000000003"/>
    <s v="Low Discount"/>
    <d v="2026-02-27T20:31:00"/>
    <x v="1"/>
    <x v="130"/>
  </r>
  <r>
    <s v="CUST018"/>
    <s v="Lisa Thomas"/>
    <s v="South"/>
    <x v="2"/>
    <n v="1061.04"/>
    <n v="1"/>
    <n v="0"/>
    <d v="2024-11-28T00:00:00"/>
    <n v="265.26"/>
    <s v="No Discount"/>
    <d v="2026-02-27T20:31:00"/>
    <x v="0"/>
    <x v="25"/>
  </r>
  <r>
    <s v="CUST001"/>
    <s v="Sarah Anderson"/>
    <s v="West"/>
    <x v="2"/>
    <n v="894.55"/>
    <n v="19"/>
    <n v="0.2"/>
    <d v="2024-11-29T00:00:00"/>
    <n v="178.91"/>
    <s v="High Discount"/>
    <d v="2026-02-27T20:31:00"/>
    <x v="1"/>
    <x v="73"/>
  </r>
  <r>
    <s v="CUST007"/>
    <s v="Emma Davis"/>
    <s v="North"/>
    <x v="4"/>
    <n v="833.91"/>
    <n v="3"/>
    <n v="0.05"/>
    <d v="2024-11-30T00:00:00"/>
    <n v="356.5"/>
    <s v="Low Discount"/>
    <d v="2026-02-27T20:31:00"/>
    <x v="1"/>
    <x v="131"/>
  </r>
  <r>
    <s v="CUST015"/>
    <s v="David Anderson"/>
    <s v="West"/>
    <x v="3"/>
    <n v="820.19"/>
    <n v="4"/>
    <n v="0.2"/>
    <d v="2024-12-04T00:00:00"/>
    <n v="229.65"/>
    <s v="High Discount"/>
    <d v="2026-02-27T20:31:00"/>
    <x v="1"/>
    <x v="132"/>
  </r>
  <r>
    <s v="CUST015"/>
    <s v="Emma Davis"/>
    <s v="Central"/>
    <x v="2"/>
    <n v="511.74"/>
    <n v="8"/>
    <n v="0.05"/>
    <d v="2024-12-05T00:00:00"/>
    <n v="121.54"/>
    <s v="Low Discount"/>
    <d v="2026-02-27T20:31:00"/>
    <x v="1"/>
    <x v="133"/>
  </r>
  <r>
    <s v="CUST002"/>
    <s v="Emma Wilson"/>
    <s v="South"/>
    <x v="3"/>
    <n v="806.03"/>
    <n v="19"/>
    <n v="0.05"/>
    <d v="2024-12-12T00:00:00"/>
    <n v="268"/>
    <s v="Low Discount"/>
    <d v="2026-02-27T20:31:00"/>
    <x v="1"/>
    <x v="134"/>
  </r>
  <r>
    <s v="CUST001"/>
    <s v="Michael Anderson"/>
    <s v="Central"/>
    <x v="3"/>
    <n v="1432.47"/>
    <n v="16"/>
    <n v="0.15"/>
    <d v="2024-12-14T00:00:00"/>
    <n v="426.16"/>
    <s v="Medium Discount"/>
    <d v="2026-02-27T20:31:00"/>
    <x v="0"/>
    <x v="135"/>
  </r>
  <r>
    <s v="CUST027"/>
    <s v="Linda Wilson"/>
    <s v="Central"/>
    <x v="2"/>
    <n v="1488.58"/>
    <n v="10"/>
    <n v="0.15"/>
    <d v="2024-12-14T00:00:00"/>
    <n v="316.32"/>
    <s v="Medium Discount"/>
    <d v="2026-02-27T20:31:00"/>
    <x v="0"/>
    <x v="136"/>
  </r>
  <r>
    <s v="CUST026"/>
    <s v="Emma Taylor"/>
    <s v="East"/>
    <x v="0"/>
    <n v="1231.26"/>
    <n v="9"/>
    <n v="0"/>
    <d v="2024-12-20T00:00:00"/>
    <n v="492.5"/>
    <s v="No Discount"/>
    <d v="2026-02-27T20:31:00"/>
    <x v="0"/>
    <x v="137"/>
  </r>
  <r>
    <s v="CUST026"/>
    <s v="Sarah Anderson"/>
    <s v="West"/>
    <x v="2"/>
    <n v="1161.67"/>
    <n v="19"/>
    <n v="0.2"/>
    <d v="2024-12-21T00:00:00"/>
    <n v="232.33"/>
    <s v="High Discount"/>
    <d v="2026-02-27T20:31:00"/>
    <x v="0"/>
    <x v="138"/>
  </r>
  <r>
    <s v="CUST022"/>
    <s v="Lisa Thomas"/>
    <s v="Central"/>
    <x v="4"/>
    <n v="388.23"/>
    <n v="16"/>
    <n v="0.05"/>
    <d v="2024-12-24T00:00:00"/>
    <n v="165.97"/>
    <s v="Low Discount"/>
    <d v="2026-02-27T20:31:00"/>
    <x v="1"/>
    <x v="139"/>
  </r>
  <r>
    <s v="CUST004"/>
    <s v="Mary Davis"/>
    <s v="North"/>
    <x v="1"/>
    <n v="1589.42"/>
    <n v="6"/>
    <n v="0.15"/>
    <d v="2024-12-25T00:00:00"/>
    <n v="675.5"/>
    <s v="Medium Discount"/>
    <d v="2026-02-27T20:31:00"/>
    <x v="0"/>
    <x v="140"/>
  </r>
  <r>
    <s v="CUST001"/>
    <s v="David Anderson"/>
    <s v="North"/>
    <x v="1"/>
    <n v="336.66"/>
    <n v="13"/>
    <n v="0.2"/>
    <d v="2024-12-25T00:00:00"/>
    <n v="134.66"/>
    <s v="High Discount"/>
    <d v="2026-02-27T20:31:00"/>
    <x v="1"/>
    <x v="141"/>
  </r>
  <r>
    <s v="CUST022"/>
    <s v="James Wilson"/>
    <s v="West"/>
    <x v="0"/>
    <n v="1353.79"/>
    <n v="14"/>
    <n v="0.1"/>
    <d v="2024-12-30T00:00:00"/>
    <n v="487.36"/>
    <s v="Low Discount"/>
    <d v="2026-02-27T20:31:00"/>
    <x v="0"/>
    <x v="142"/>
  </r>
  <r>
    <s v="CUST011"/>
    <s v="Linda Moore"/>
    <s v="Central"/>
    <x v="1"/>
    <n v="662.61"/>
    <n v="11"/>
    <n v="0.05"/>
    <d v="2025-01-01T00:00:00"/>
    <n v="314.74"/>
    <s v="Low Discount"/>
    <d v="2026-02-27T20:31:00"/>
    <x v="1"/>
    <x v="143"/>
  </r>
  <r>
    <s v="CUST028"/>
    <s v="Lisa Davis"/>
    <s v="North"/>
    <x v="4"/>
    <n v="309.42"/>
    <n v="1"/>
    <n v="0.2"/>
    <d v="2025-01-01T00:00:00"/>
    <n v="111.39"/>
    <s v="High Discount"/>
    <d v="2026-02-27T20:31:00"/>
    <x v="1"/>
    <x v="144"/>
  </r>
  <r>
    <s v="CUST011"/>
    <s v="Linda Wilson"/>
    <s v="North"/>
    <x v="0"/>
    <n v="884.63"/>
    <n v="18"/>
    <n v="0.1"/>
    <d v="2025-01-02T00:00:00"/>
    <n v="318.47000000000003"/>
    <s v="Low Discount"/>
    <d v="2026-02-27T20:31:00"/>
    <x v="1"/>
    <x v="145"/>
  </r>
  <r>
    <s v="CUST028"/>
    <s v="James Wilson"/>
    <s v="Central"/>
    <x v="4"/>
    <n v="745.05"/>
    <n v="10"/>
    <n v="0.1"/>
    <d v="2025-01-03T00:00:00"/>
    <n v="301.75"/>
    <s v="Low Discount"/>
    <d v="2026-02-27T20:31:00"/>
    <x v="1"/>
    <x v="146"/>
  </r>
  <r>
    <s v="CUST016"/>
    <s v="James Taylor"/>
    <s v="South"/>
    <x v="1"/>
    <n v="870.23"/>
    <n v="5"/>
    <n v="0.05"/>
    <d v="2025-01-03T00:00:00"/>
    <n v="413.36"/>
    <s v="Low Discount"/>
    <d v="2026-02-27T20:31:00"/>
    <x v="1"/>
    <x v="147"/>
  </r>
  <r>
    <s v="CUST010"/>
    <s v="Linda Wilson"/>
    <s v="West"/>
    <x v="3"/>
    <n v="862.19"/>
    <n v="18"/>
    <n v="0.05"/>
    <d v="2025-01-06T00:00:00"/>
    <n v="286.68"/>
    <s v="Low Discount"/>
    <d v="2026-02-27T20:31:00"/>
    <x v="1"/>
    <x v="148"/>
  </r>
  <r>
    <s v="CUST013"/>
    <s v="Mary Wilson"/>
    <s v="North"/>
    <x v="1"/>
    <n v="1171.18"/>
    <n v="19"/>
    <n v="0.05"/>
    <d v="2025-01-10T00:00:00"/>
    <n v="556.30999999999995"/>
    <s v="Low Discount"/>
    <d v="2026-02-27T20:31:00"/>
    <x v="0"/>
    <x v="149"/>
  </r>
  <r>
    <s v="CUST015"/>
    <s v="Robert Anderson"/>
    <s v="South"/>
    <x v="3"/>
    <n v="1054.56"/>
    <n v="11"/>
    <n v="0.1"/>
    <d v="2025-01-12T00:00:00"/>
    <n v="332.19"/>
    <s v="Low Discount"/>
    <d v="2026-02-27T20:31:00"/>
    <x v="0"/>
    <x v="150"/>
  </r>
  <r>
    <s v="CUST015"/>
    <s v="James Wilson"/>
    <s v="North"/>
    <x v="2"/>
    <n v="1681.21"/>
    <n v="5"/>
    <n v="0.2"/>
    <d v="2025-01-13T00:00:00"/>
    <n v="336.24"/>
    <s v="High Discount"/>
    <d v="2026-02-27T20:31:00"/>
    <x v="0"/>
    <x v="151"/>
  </r>
  <r>
    <s v="CUST015"/>
    <s v="David Thomas"/>
    <s v="West"/>
    <x v="1"/>
    <n v="379.77"/>
    <n v="9"/>
    <n v="0.05"/>
    <d v="2025-01-16T00:00:00"/>
    <n v="180.39"/>
    <s v="Low Discount"/>
    <d v="2026-02-27T20:31:00"/>
    <x v="1"/>
    <x v="152"/>
  </r>
  <r>
    <s v="CUST008"/>
    <s v="Lisa Thomas"/>
    <s v="Central"/>
    <x v="1"/>
    <n v="1076.33"/>
    <n v="2"/>
    <n v="0.1"/>
    <d v="2025-01-17T00:00:00"/>
    <n v="484.35"/>
    <s v="Low Discount"/>
    <d v="2026-02-27T20:31:00"/>
    <x v="0"/>
    <x v="153"/>
  </r>
  <r>
    <s v="CUST008"/>
    <s v="Mary Davis"/>
    <s v="Central"/>
    <x v="4"/>
    <n v="1250.71"/>
    <n v="7"/>
    <n v="0"/>
    <d v="2025-01-17T00:00:00"/>
    <n v="562.82000000000005"/>
    <s v="No Discount"/>
    <d v="2026-02-27T20:31:00"/>
    <x v="0"/>
    <x v="154"/>
  </r>
  <r>
    <s v="CUST023"/>
    <s v="James Taylor"/>
    <s v="South"/>
    <x v="1"/>
    <n v="1118.3399999999999"/>
    <n v="6"/>
    <n v="0.2"/>
    <d v="2025-01-17T00:00:00"/>
    <n v="447.34"/>
    <s v="High Discount"/>
    <d v="2026-02-27T20:31:00"/>
    <x v="0"/>
    <x v="155"/>
  </r>
  <r>
    <s v="CUST024"/>
    <s v="Linda Taylor"/>
    <s v="North"/>
    <x v="1"/>
    <n v="1622.62"/>
    <n v="12"/>
    <n v="0.2"/>
    <d v="2025-01-20T00:00:00"/>
    <n v="649.04999999999995"/>
    <s v="High Discount"/>
    <d v="2026-02-27T20:31:00"/>
    <x v="0"/>
    <x v="156"/>
  </r>
  <r>
    <s v="CUST018"/>
    <s v="Lisa Davis"/>
    <s v="North"/>
    <x v="0"/>
    <n v="640.64"/>
    <n v="11"/>
    <n v="0.2"/>
    <d v="2025-01-21T00:00:00"/>
    <n v="205"/>
    <s v="High Discount"/>
    <d v="2026-02-27T20:31:00"/>
    <x v="1"/>
    <x v="157"/>
  </r>
  <r>
    <s v="CUST030"/>
    <s v="Sarah Anderson"/>
    <s v="West"/>
    <x v="1"/>
    <n v="585.16"/>
    <n v="17"/>
    <n v="0.1"/>
    <d v="2025-01-27T00:00:00"/>
    <n v="263.32"/>
    <s v="Low Discount"/>
    <d v="2026-02-27T20:31:00"/>
    <x v="1"/>
    <x v="158"/>
  </r>
  <r>
    <s v="CUST030"/>
    <s v="Mary Davis"/>
    <s v="East"/>
    <x v="1"/>
    <n v="1109.98"/>
    <n v="5"/>
    <n v="0.2"/>
    <d v="2025-02-02T00:00:00"/>
    <n v="443.99"/>
    <s v="High Discount"/>
    <d v="2026-02-27T20:31:00"/>
    <x v="0"/>
    <x v="159"/>
  </r>
  <r>
    <s v="CUST015"/>
    <s v="Lisa Thomas"/>
    <s v="East"/>
    <x v="0"/>
    <n v="1098.08"/>
    <n v="9"/>
    <n v="0.1"/>
    <d v="2025-02-04T00:00:00"/>
    <n v="395.31"/>
    <s v="Low Discount"/>
    <d v="2026-02-27T20:31:00"/>
    <x v="0"/>
    <x v="160"/>
  </r>
  <r>
    <s v="CUST002"/>
    <s v="Lisa Davis"/>
    <s v="West"/>
    <x v="4"/>
    <n v="827.25"/>
    <n v="7"/>
    <n v="0.1"/>
    <d v="2025-02-05T00:00:00"/>
    <n v="335.04"/>
    <s v="Low Discount"/>
    <d v="2026-02-27T20:31:00"/>
    <x v="1"/>
    <x v="161"/>
  </r>
  <r>
    <s v="CUST024"/>
    <s v="Linda Wilson"/>
    <s v="Central"/>
    <x v="1"/>
    <n v="741.88"/>
    <n v="16"/>
    <n v="0.1"/>
    <d v="2025-02-07T00:00:00"/>
    <n v="333.85"/>
    <s v="Low Discount"/>
    <d v="2026-02-27T20:31:00"/>
    <x v="1"/>
    <x v="162"/>
  </r>
  <r>
    <s v="CUST004"/>
    <s v="James Davis"/>
    <s v="East"/>
    <x v="4"/>
    <n v="1311.26"/>
    <n v="6"/>
    <n v="0.1"/>
    <d v="2025-02-10T00:00:00"/>
    <n v="531.05999999999995"/>
    <s v="Low Discount"/>
    <d v="2026-02-27T20:31:00"/>
    <x v="0"/>
    <x v="163"/>
  </r>
  <r>
    <s v="CUST004"/>
    <s v="Mary Davis"/>
    <s v="South"/>
    <x v="4"/>
    <n v="573.32000000000005"/>
    <n v="19"/>
    <n v="0.1"/>
    <d v="2025-02-15T00:00:00"/>
    <n v="232.19"/>
    <s v="Low Discount"/>
    <d v="2026-02-27T20:31:00"/>
    <x v="1"/>
    <x v="164"/>
  </r>
  <r>
    <s v="CUST028"/>
    <s v="James Wilson"/>
    <s v="West"/>
    <x v="2"/>
    <n v="1115.22"/>
    <n v="14"/>
    <n v="0.2"/>
    <d v="2025-02-17T00:00:00"/>
    <n v="223.04"/>
    <s v="High Discount"/>
    <d v="2026-02-27T20:31:00"/>
    <x v="0"/>
    <x v="165"/>
  </r>
  <r>
    <s v="CUST012"/>
    <s v="Lisa Thomas"/>
    <s v="North"/>
    <x v="1"/>
    <n v="845.84"/>
    <n v="4"/>
    <n v="0"/>
    <d v="2025-02-19T00:00:00"/>
    <n v="422.92"/>
    <s v="No Discount"/>
    <d v="2026-02-27T20:31:00"/>
    <x v="1"/>
    <x v="20"/>
  </r>
  <r>
    <s v="CUST026"/>
    <s v="David Brown"/>
    <s v="West"/>
    <x v="2"/>
    <n v="1029.8"/>
    <n v="3"/>
    <n v="0"/>
    <d v="2025-02-20T00:00:00"/>
    <n v="257.45"/>
    <s v="No Discount"/>
    <d v="2026-02-27T20:31:00"/>
    <x v="0"/>
    <x v="25"/>
  </r>
  <r>
    <s v="CUST009"/>
    <s v="Mary Davis"/>
    <s v="North"/>
    <x v="0"/>
    <n v="1189.83"/>
    <n v="2"/>
    <n v="0.2"/>
    <d v="2025-02-21T00:00:00"/>
    <n v="380.75"/>
    <s v="High Discount"/>
    <d v="2026-02-27T20:31:00"/>
    <x v="0"/>
    <x v="166"/>
  </r>
  <r>
    <s v="CUST003"/>
    <s v="Sarah Anderson"/>
    <s v="South"/>
    <x v="0"/>
    <n v="704.28"/>
    <n v="15"/>
    <n v="0.2"/>
    <d v="2025-02-24T00:00:00"/>
    <n v="225.37"/>
    <s v="High Discount"/>
    <d v="2026-02-27T20:31:00"/>
    <x v="1"/>
    <x v="167"/>
  </r>
  <r>
    <s v="CUST002"/>
    <s v="Mary Jackson"/>
    <s v="Central"/>
    <x v="4"/>
    <n v="1618.22"/>
    <n v="12"/>
    <n v="0.2"/>
    <d v="2025-02-24T00:00:00"/>
    <n v="582.55999999999995"/>
    <s v="High Discount"/>
    <d v="2026-02-27T20:31:00"/>
    <x v="0"/>
    <x v="168"/>
  </r>
  <r>
    <s v="CUST013"/>
    <s v="Linda Taylor"/>
    <s v="Central"/>
    <x v="0"/>
    <n v="1014.43"/>
    <n v="2"/>
    <n v="0.15"/>
    <d v="2025-02-25T00:00:00"/>
    <n v="344.91"/>
    <s v="Medium Discount"/>
    <d v="2026-02-27T20:31:00"/>
    <x v="0"/>
    <x v="169"/>
  </r>
  <r>
    <s v="CUST018"/>
    <s v="Mary Davis"/>
    <s v="Central"/>
    <x v="1"/>
    <n v="826.97"/>
    <n v="18"/>
    <n v="0.2"/>
    <d v="2025-02-27T00:00:00"/>
    <n v="330.79"/>
    <s v="High Discount"/>
    <d v="2026-02-27T20:31:00"/>
    <x v="1"/>
    <x v="170"/>
  </r>
  <r>
    <s v="CUST017"/>
    <s v="Mary Davis"/>
    <s v="Central"/>
    <x v="1"/>
    <n v="1022.23"/>
    <n v="8"/>
    <n v="0.1"/>
    <d v="2025-03-01T00:00:00"/>
    <n v="460"/>
    <s v="Low Discount"/>
    <d v="2026-02-27T20:31:00"/>
    <x v="0"/>
    <x v="171"/>
  </r>
  <r>
    <s v="CUST004"/>
    <s v="Linda Wilson"/>
    <s v="East"/>
    <x v="0"/>
    <n v="1099.69"/>
    <n v="6"/>
    <n v="0"/>
    <d v="2025-03-02T00:00:00"/>
    <n v="439.88"/>
    <s v="No Discount"/>
    <d v="2026-02-27T20:31:00"/>
    <x v="0"/>
    <x v="172"/>
  </r>
  <r>
    <s v="CUST028"/>
    <s v="Sarah Davis"/>
    <s v="North"/>
    <x v="0"/>
    <n v="710.52"/>
    <n v="8"/>
    <n v="0.1"/>
    <d v="2025-03-05T00:00:00"/>
    <n v="255.79"/>
    <s v="Low Discount"/>
    <d v="2026-02-27T20:31:00"/>
    <x v="1"/>
    <x v="173"/>
  </r>
  <r>
    <s v="CUST028"/>
    <s v="Mary Wilson"/>
    <s v="North"/>
    <x v="0"/>
    <n v="499.18"/>
    <n v="15"/>
    <n v="0.2"/>
    <d v="2025-03-08T00:00:00"/>
    <n v="159.74"/>
    <s v="High Discount"/>
    <d v="2026-02-27T20:31:00"/>
    <x v="1"/>
    <x v="174"/>
  </r>
  <r>
    <s v="CUST014"/>
    <s v="Emma Davis"/>
    <s v="South"/>
    <x v="0"/>
    <n v="1064.19"/>
    <n v="18"/>
    <n v="0.05"/>
    <d v="2025-03-09T00:00:00"/>
    <n v="404.39"/>
    <s v="Low Discount"/>
    <d v="2026-02-27T20:31:00"/>
    <x v="0"/>
    <x v="175"/>
  </r>
  <r>
    <s v="CUST003"/>
    <s v="Emma Davis"/>
    <s v="East"/>
    <x v="4"/>
    <n v="438.76"/>
    <n v="18"/>
    <n v="0.05"/>
    <d v="2025-03-10T00:00:00"/>
    <n v="187.57"/>
    <s v="Low Discount"/>
    <d v="2026-02-27T20:31:00"/>
    <x v="1"/>
    <x v="176"/>
  </r>
  <r>
    <s v="CUST029"/>
    <s v="David Brown"/>
    <s v="West"/>
    <x v="1"/>
    <n v="864.98"/>
    <n v="2"/>
    <n v="0.05"/>
    <d v="2025-03-11T00:00:00"/>
    <n v="410.87"/>
    <s v="Low Discount"/>
    <d v="2026-02-27T20:31:00"/>
    <x v="1"/>
    <x v="177"/>
  </r>
  <r>
    <s v="CUST021"/>
    <s v="David Brown"/>
    <s v="West"/>
    <x v="3"/>
    <n v="984.93"/>
    <n v="14"/>
    <n v="0.2"/>
    <d v="2025-03-17T00:00:00"/>
    <n v="275.77999999999997"/>
    <s v="High Discount"/>
    <d v="2026-02-27T20:31:00"/>
    <x v="1"/>
    <x v="178"/>
  </r>
  <r>
    <s v="CUST007"/>
    <s v="David Brown"/>
    <s v="West"/>
    <x v="1"/>
    <n v="1493.49"/>
    <n v="18"/>
    <n v="0"/>
    <d v="2025-03-18T00:00:00"/>
    <n v="746.74"/>
    <s v="No Discount"/>
    <d v="2026-02-27T20:31:00"/>
    <x v="0"/>
    <x v="179"/>
  </r>
  <r>
    <s v="CUST009"/>
    <s v="Linda Taylor"/>
    <s v="South"/>
    <x v="1"/>
    <n v="689.43"/>
    <n v="9"/>
    <n v="0.1"/>
    <d v="2025-03-20T00:00:00"/>
    <n v="310.24"/>
    <s v="Low Discount"/>
    <d v="2026-02-27T20:31:00"/>
    <x v="1"/>
    <x v="180"/>
  </r>
  <r>
    <s v="CUST023"/>
    <s v="Mary Wilson"/>
    <s v="South"/>
    <x v="1"/>
    <n v="682.24"/>
    <n v="1"/>
    <n v="0"/>
    <d v="2025-03-22T00:00:00"/>
    <n v="341.12"/>
    <s v="No Discount"/>
    <d v="2026-02-27T20:31:00"/>
    <x v="1"/>
    <x v="20"/>
  </r>
  <r>
    <s v="CUST029"/>
    <s v="Michael Anderson"/>
    <s v="North"/>
    <x v="2"/>
    <n v="458.54"/>
    <n v="15"/>
    <n v="0.2"/>
    <d v="2025-03-25T00:00:00"/>
    <n v="91.71"/>
    <s v="High Discount"/>
    <d v="2026-02-27T20:31:00"/>
    <x v="1"/>
    <x v="181"/>
  </r>
  <r>
    <s v="CUST009"/>
    <s v="Michael Anderson"/>
    <s v="South"/>
    <x v="3"/>
    <n v="1184.25"/>
    <n v="11"/>
    <n v="0.2"/>
    <d v="2025-03-26T00:00:00"/>
    <n v="331.59"/>
    <s v="High Discount"/>
    <d v="2026-02-27T20:31:00"/>
    <x v="0"/>
    <x v="182"/>
  </r>
  <r>
    <s v="CUST007"/>
    <s v="James Davis"/>
    <s v="South"/>
    <x v="1"/>
    <n v="762.14"/>
    <n v="9"/>
    <n v="0"/>
    <d v="2025-03-27T00:00:00"/>
    <n v="381.07"/>
    <s v="No Discount"/>
    <d v="2026-02-27T20:31:00"/>
    <x v="1"/>
    <x v="20"/>
  </r>
  <r>
    <s v="CUST030"/>
    <s v="Linda Taylor"/>
    <s v="North"/>
    <x v="0"/>
    <n v="750.71"/>
    <n v="10"/>
    <n v="0.15"/>
    <d v="2025-03-27T00:00:00"/>
    <n v="255.24"/>
    <s v="Medium Discount"/>
    <d v="2026-02-27T20:31:00"/>
    <x v="1"/>
    <x v="183"/>
  </r>
  <r>
    <s v="CUST018"/>
    <s v="David Anderson"/>
    <s v="Central"/>
    <x v="1"/>
    <n v="1456.94"/>
    <n v="14"/>
    <n v="0.05"/>
    <d v="2025-03-29T00:00:00"/>
    <n v="692.05"/>
    <s v="Low Discount"/>
    <d v="2026-02-27T20:31:00"/>
    <x v="0"/>
    <x v="184"/>
  </r>
  <r>
    <s v="CUST008"/>
    <s v="Emma Wilson"/>
    <s v="East"/>
    <x v="3"/>
    <n v="1093.3800000000001"/>
    <n v="17"/>
    <n v="0.1"/>
    <d v="2025-03-29T00:00:00"/>
    <n v="344.41"/>
    <s v="Low Discount"/>
    <d v="2026-02-27T20:31:00"/>
    <x v="0"/>
    <x v="185"/>
  </r>
  <r>
    <s v="CUST014"/>
    <s v="Sarah Anderson"/>
    <s v="West"/>
    <x v="1"/>
    <n v="934.27"/>
    <n v="8"/>
    <n v="0.15"/>
    <d v="2025-03-30T00:00:00"/>
    <n v="397.06"/>
    <s v="Medium Discount"/>
    <d v="2026-02-27T20:31:00"/>
    <x v="1"/>
    <x v="186"/>
  </r>
  <r>
    <s v="CUST024"/>
    <s v="David Thomas"/>
    <s v="Central"/>
    <x v="1"/>
    <n v="1465.35"/>
    <n v="8"/>
    <n v="0.2"/>
    <d v="2025-03-30T00:00:00"/>
    <n v="586.14"/>
    <s v="High Discount"/>
    <d v="2026-02-27T20:31:00"/>
    <x v="0"/>
    <x v="122"/>
  </r>
  <r>
    <s v="CUST028"/>
    <s v="Robert Anderson"/>
    <s v="South"/>
    <x v="4"/>
    <n v="740.8"/>
    <n v="3"/>
    <n v="0"/>
    <d v="2025-04-02T00:00:00"/>
    <n v="333.36"/>
    <s v="No Discount"/>
    <d v="2026-02-27T20:31:00"/>
    <x v="1"/>
    <x v="187"/>
  </r>
  <r>
    <s v="CUST015"/>
    <s v="Sarah Anderson"/>
    <s v="West"/>
    <x v="4"/>
    <n v="545.44000000000005"/>
    <n v="17"/>
    <n v="0"/>
    <d v="2025-04-05T00:00:00"/>
    <n v="245.45"/>
    <s v="No Discount"/>
    <d v="2026-02-27T20:31:00"/>
    <x v="1"/>
    <x v="188"/>
  </r>
  <r>
    <s v="CUST010"/>
    <s v="David Thomas"/>
    <s v="East"/>
    <x v="0"/>
    <n v="997.61"/>
    <n v="8"/>
    <n v="0.05"/>
    <d v="2025-04-05T00:00:00"/>
    <n v="379.09"/>
    <s v="Low Discount"/>
    <d v="2026-02-27T20:31:00"/>
    <x v="1"/>
    <x v="189"/>
  </r>
  <r>
    <s v="CUST016"/>
    <s v="David Thomas"/>
    <s v="South"/>
    <x v="1"/>
    <n v="928.32"/>
    <n v="2"/>
    <n v="0.05"/>
    <d v="2025-04-07T00:00:00"/>
    <n v="440.95"/>
    <s v="Low Discount"/>
    <d v="2026-02-27T20:31:00"/>
    <x v="1"/>
    <x v="1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1F345D-46BA-41B0-BA25-757CF2F15BE4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8">
  <location ref="A18:C24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" baseField="0" baseItem="0"/>
    <dataField name="Sum of Profit" fld="2" baseField="0" baseItem="0"/>
  </dataFields>
  <chartFormats count="7">
    <chartFormat chart="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Discount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039F8-C874-4DE4-8EDC-94AB2217A775}" name="PivotTable9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8:B44" firstHeaderRow="1" firstDataRow="1" firstDataCol="1"/>
  <pivotFields count="13"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numFmtId="2" showAll="0"/>
    <pivotField showAll="0"/>
    <pivotField showAll="0"/>
    <pivotField numFmtId="14" showAll="0"/>
    <pivotField numFmtId="2" showAll="0"/>
    <pivotField showAll="0"/>
    <pivotField numFmtId="22" showAll="0"/>
    <pivotField showAll="0">
      <items count="3">
        <item x="0"/>
        <item x="1"/>
        <item t="default"/>
      </items>
    </pivotField>
    <pivotField dataField="1" numFmtId="10" showAll="0">
      <items count="192">
        <item x="165"/>
        <item x="138"/>
        <item x="57"/>
        <item x="29"/>
        <item x="151"/>
        <item x="73"/>
        <item x="92"/>
        <item x="101"/>
        <item x="15"/>
        <item x="62"/>
        <item x="181"/>
        <item x="54"/>
        <item x="74"/>
        <item x="136"/>
        <item x="71"/>
        <item x="123"/>
        <item x="21"/>
        <item x="3"/>
        <item x="126"/>
        <item x="30"/>
        <item x="81"/>
        <item x="49"/>
        <item x="33"/>
        <item x="63"/>
        <item x="6"/>
        <item x="67"/>
        <item x="50"/>
        <item x="133"/>
        <item x="69"/>
        <item x="23"/>
        <item x="102"/>
        <item x="25"/>
        <item x="124"/>
        <item x="84"/>
        <item x="114"/>
        <item x="45"/>
        <item x="112"/>
        <item x="19"/>
        <item x="127"/>
        <item x="132"/>
        <item x="7"/>
        <item x="55"/>
        <item x="178"/>
        <item x="182"/>
        <item x="48"/>
        <item x="38"/>
        <item x="64"/>
        <item x="32"/>
        <item x="135"/>
        <item x="111"/>
        <item x="95"/>
        <item x="44"/>
        <item x="14"/>
        <item x="90"/>
        <item x="185"/>
        <item x="61"/>
        <item x="89"/>
        <item x="150"/>
        <item x="5"/>
        <item x="130"/>
        <item x="157"/>
        <item x="17"/>
        <item x="72"/>
        <item x="35"/>
        <item x="18"/>
        <item x="4"/>
        <item x="167"/>
        <item x="0"/>
        <item x="104"/>
        <item x="166"/>
        <item x="174"/>
        <item x="134"/>
        <item x="37"/>
        <item x="66"/>
        <item x="118"/>
        <item x="119"/>
        <item x="148"/>
        <item x="13"/>
        <item x="76"/>
        <item x="11"/>
        <item x="93"/>
        <item x="183"/>
        <item x="105"/>
        <item x="117"/>
        <item x="16"/>
        <item x="169"/>
        <item x="39"/>
        <item x="80"/>
        <item x="103"/>
        <item x="75"/>
        <item x="26"/>
        <item x="125"/>
        <item x="52"/>
        <item x="85"/>
        <item x="97"/>
        <item x="109"/>
        <item x="53"/>
        <item x="144"/>
        <item x="142"/>
        <item x="41"/>
        <item x="168"/>
        <item x="160"/>
        <item x="99"/>
        <item x="59"/>
        <item x="145"/>
        <item x="40"/>
        <item x="58"/>
        <item x="173"/>
        <item x="43"/>
        <item x="27"/>
        <item x="175"/>
        <item x="128"/>
        <item x="189"/>
        <item x="12"/>
        <item x="31"/>
        <item x="82"/>
        <item x="115"/>
        <item x="88"/>
        <item x="129"/>
        <item x="65"/>
        <item x="8"/>
        <item x="91"/>
        <item x="46"/>
        <item x="42"/>
        <item x="87"/>
        <item x="141"/>
        <item x="79"/>
        <item x="56"/>
        <item x="137"/>
        <item x="94"/>
        <item x="106"/>
        <item x="1"/>
        <item x="159"/>
        <item x="122"/>
        <item x="156"/>
        <item x="170"/>
        <item x="22"/>
        <item x="155"/>
        <item x="172"/>
        <item x="2"/>
        <item x="113"/>
        <item x="164"/>
        <item x="28"/>
        <item x="24"/>
        <item x="163"/>
        <item x="121"/>
        <item x="161"/>
        <item x="146"/>
        <item x="186"/>
        <item x="108"/>
        <item x="140"/>
        <item x="34"/>
        <item x="36"/>
        <item x="10"/>
        <item x="176"/>
        <item x="116"/>
        <item x="131"/>
        <item x="139"/>
        <item x="68"/>
        <item x="180"/>
        <item x="171"/>
        <item x="158"/>
        <item x="77"/>
        <item x="78"/>
        <item x="86"/>
        <item x="83"/>
        <item x="70"/>
        <item x="187"/>
        <item x="154"/>
        <item x="107"/>
        <item x="51"/>
        <item x="96"/>
        <item x="153"/>
        <item x="47"/>
        <item x="188"/>
        <item x="100"/>
        <item x="110"/>
        <item x="162"/>
        <item x="60"/>
        <item x="9"/>
        <item x="190"/>
        <item x="152"/>
        <item x="149"/>
        <item x="143"/>
        <item x="147"/>
        <item x="184"/>
        <item x="177"/>
        <item x="120"/>
        <item x="179"/>
        <item x="20"/>
        <item x="98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ofit Margin" fld="12" subtotal="average" baseField="3" baseItem="0" numFmtId="10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EEB9F-1C7C-4D8B-873C-DC1E0D7F3569}" name="PivotTable14" cacheId="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9">
  <location ref="E30:H36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Profit" fld="1" baseField="0" baseItem="0"/>
    <dataField name="Sum of Quantity" fld="2" baseField="0" baseItem="0"/>
    <dataField name="Sum of Sales" fld="3" baseField="0" baseItem="0"/>
  </dataFields>
  <chartFormats count="2"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E92F8-7E4A-4C40-9747-ED0EEC9A1D0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4" firstHeaderRow="1" firstDataRow="1" firstDataCol="1"/>
  <pivotFields count="12">
    <pivotField showAll="0"/>
    <pivotField axis="axisRow" showAll="0" measureFilter="1" sortType="descending">
      <items count="28">
        <item x="26"/>
        <item x="18"/>
        <item x="19"/>
        <item x="10"/>
        <item x="8"/>
        <item x="9"/>
        <item x="24"/>
        <item x="21"/>
        <item x="0"/>
        <item x="2"/>
        <item x="3"/>
        <item x="16"/>
        <item x="15"/>
        <item x="22"/>
        <item x="7"/>
        <item x="25"/>
        <item x="17"/>
        <item x="5"/>
        <item x="14"/>
        <item x="12"/>
        <item x="6"/>
        <item x="13"/>
        <item x="20"/>
        <item x="4"/>
        <item x="1"/>
        <item x="11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multipleItemSelectionAllowed="1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11">
    <i>
      <x v="10"/>
    </i>
    <i>
      <x v="20"/>
    </i>
    <i>
      <x v="1"/>
    </i>
    <i>
      <x v="5"/>
    </i>
    <i>
      <x v="17"/>
    </i>
    <i>
      <x v="19"/>
    </i>
    <i>
      <x v="7"/>
    </i>
    <i>
      <x v="24"/>
    </i>
    <i>
      <x v="18"/>
    </i>
    <i>
      <x v="23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B7A77-2132-43E3-80F0-912CD865F1E5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29:C32" firstHeaderRow="0" firstDataRow="1" firstDataCol="1"/>
  <pivotFields count="15">
    <pivotField showAll="0"/>
    <pivotField showAll="0"/>
    <pivotField showAll="0"/>
    <pivotField showAll="0"/>
    <pivotField dataField="1" numFmtId="2" showAll="0"/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dataField="1" numFmtId="2" showAll="0"/>
    <pivotField showAll="0"/>
    <pivotField numFmtId="22" showAll="0"/>
    <pivotField axis="axisRow" showAll="0">
      <items count="5">
        <item m="1" x="2"/>
        <item m="1" x="3"/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11"/>
  </rowFields>
  <rowItems count="3"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Profit" fld="8" subtotal="average" baseField="0" baseItem="0" numFmtId="2"/>
    <dataField name="Sum of Sales" fld="4" baseField="0" baseItem="0" numFmtId="2"/>
  </dataFields>
  <chartFormats count="6">
    <chartFormat chart="12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9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2" format="20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2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2">
      <pivotArea type="data" outline="0" fieldPosition="0">
        <references count="2">
          <reference field="4294967294" count="1" selected="0">
            <x v="1"/>
          </reference>
          <reference field="11" count="1" selected="0">
            <x v="2"/>
          </reference>
        </references>
      </pivotArea>
    </chartFormat>
    <chartFormat chart="12" format="23">
      <pivotArea type="data" outline="0" fieldPosition="0">
        <references count="2">
          <reference field="4294967294" count="1" selected="0">
            <x v="1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226526-75E2-45FE-9788-2541D3C4F2B3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E20:K27" firstHeaderRow="1" firstDataRow="2" firstDataCol="1"/>
  <pivotFields count="3">
    <pivotField axis="axisRow" allDrilled="1" subtotalTop="0" showAll="0" dataSourceSort="1" defaultAttributeDrillState="1">
      <items count="6">
        <item x="0"/>
        <item x="1"/>
        <item x="2"/>
        <item x="3"/>
        <item x="4"/>
        <item t="default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2" baseField="0" baseItem="0"/>
  </dataFields>
  <chartFormats count="30">
    <chartFormat chart="22" format="44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2" format="4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2" format="4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2" format="4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2" format="44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22" format="44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22" format="44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22" format="44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22" format="45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4"/>
          </reference>
        </references>
      </pivotArea>
    </chartFormat>
    <chartFormat chart="22" format="45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0"/>
          </reference>
        </references>
      </pivotArea>
    </chartFormat>
    <chartFormat chart="22" format="45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22" format="45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22" format="45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22" format="45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4"/>
          </reference>
        </references>
      </pivotArea>
    </chartFormat>
    <chartFormat chart="22" format="45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0"/>
          </reference>
        </references>
      </pivotArea>
    </chartFormat>
    <chartFormat chart="22" format="45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"/>
          </reference>
        </references>
      </pivotArea>
    </chartFormat>
    <chartFormat chart="22" format="45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2"/>
          </reference>
        </references>
      </pivotArea>
    </chartFormat>
    <chartFormat chart="22" format="45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3"/>
          </reference>
        </references>
      </pivotArea>
    </chartFormat>
    <chartFormat chart="22" format="46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4"/>
          </reference>
        </references>
      </pivotArea>
    </chartFormat>
    <chartFormat chart="22" format="46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0"/>
          </reference>
        </references>
      </pivotArea>
    </chartFormat>
    <chartFormat chart="22" format="46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"/>
          </reference>
        </references>
      </pivotArea>
    </chartFormat>
    <chartFormat chart="22" format="46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2"/>
          </reference>
        </references>
      </pivotArea>
    </chartFormat>
    <chartFormat chart="22" format="46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3"/>
          </reference>
        </references>
      </pivotArea>
    </chartFormat>
    <chartFormat chart="22" format="46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4"/>
          </reference>
        </references>
      </pivotArea>
    </chartFormat>
    <chartFormat chart="22" format="4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2" format="4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2" format="4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2" format="4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2" format="4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Average of Discount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A65EA-2E91-4ED1-A0A7-E31849D767DE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1" baseField="0" baseItem="0"/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D8B31-B815-41FD-8A5D-E9E8408DFBDF}" name="PivotTable4" cacheId="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20">
  <location ref="G40:I46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0" baseField="0" baseItem="0"/>
    <dataField name="Sum of Profit" fld="2" baseField="0" baseItem="0"/>
  </dataFields>
  <chartFormats count="5">
    <chartFormat chart="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182FC-3178-40BB-BF65-F988687423F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H3:J16" firstHeaderRow="0" firstDataRow="1" firstDataCol="1"/>
  <pivotFields count="12">
    <pivotField showAll="0"/>
    <pivotField showAll="0"/>
    <pivotField showAll="0"/>
    <pivotField showAll="0"/>
    <pivotField dataField="1" showAll="0">
      <items count="201">
        <item x="129"/>
        <item x="148"/>
        <item x="145"/>
        <item x="156"/>
        <item x="143"/>
        <item x="21"/>
        <item x="182"/>
        <item x="188"/>
        <item x="35"/>
        <item x="61"/>
        <item x="180"/>
        <item x="8"/>
        <item x="137"/>
        <item x="77"/>
        <item x="14"/>
        <item x="72"/>
        <item x="197"/>
        <item x="42"/>
        <item x="168"/>
        <item x="39"/>
        <item x="162"/>
        <item x="100"/>
        <item x="70"/>
        <item x="17"/>
        <item x="161"/>
        <item x="19"/>
        <item x="114"/>
        <item x="147"/>
        <item x="26"/>
        <item x="80"/>
        <item x="187"/>
        <item x="115"/>
        <item x="186"/>
        <item x="111"/>
        <item x="173"/>
        <item x="23"/>
        <item x="125"/>
        <item x="179"/>
        <item x="2"/>
        <item x="123"/>
        <item x="91"/>
        <item x="108"/>
        <item x="9"/>
        <item x="196"/>
        <item x="57"/>
        <item x="166"/>
        <item x="22"/>
        <item x="150"/>
        <item x="191"/>
        <item x="3"/>
        <item x="190"/>
        <item x="113"/>
        <item x="38"/>
        <item x="49"/>
        <item x="82"/>
        <item x="29"/>
        <item x="73"/>
        <item x="69"/>
        <item x="138"/>
        <item x="54"/>
        <item x="136"/>
        <item x="13"/>
        <item x="98"/>
        <item x="176"/>
        <item x="165"/>
        <item x="135"/>
        <item x="43"/>
        <item x="36"/>
        <item x="170"/>
        <item x="4"/>
        <item x="32"/>
        <item x="132"/>
        <item x="45"/>
        <item x="152"/>
        <item x="183"/>
        <item x="151"/>
        <item x="86"/>
        <item x="92"/>
        <item x="66"/>
        <item x="16"/>
        <item x="149"/>
        <item x="134"/>
        <item x="99"/>
        <item x="95"/>
        <item x="55"/>
        <item x="128"/>
        <item x="103"/>
        <item x="24"/>
        <item x="199"/>
        <item x="62"/>
        <item x="194"/>
        <item x="27"/>
        <item x="53"/>
        <item x="20"/>
        <item x="119"/>
        <item x="105"/>
        <item x="5"/>
        <item x="94"/>
        <item x="33"/>
        <item x="56"/>
        <item x="110"/>
        <item x="71"/>
        <item x="28"/>
        <item x="184"/>
        <item x="101"/>
        <item x="198"/>
        <item x="47"/>
        <item x="63"/>
        <item x="118"/>
        <item x="102"/>
        <item x="117"/>
        <item x="175"/>
        <item x="122"/>
        <item x="68"/>
        <item x="50"/>
        <item x="177"/>
        <item x="31"/>
        <item x="41"/>
        <item x="171"/>
        <item x="65"/>
        <item x="0"/>
        <item x="154"/>
        <item x="133"/>
        <item x="181"/>
        <item x="83"/>
        <item x="7"/>
        <item x="157"/>
        <item x="120"/>
        <item x="106"/>
        <item x="52"/>
        <item x="193"/>
        <item x="164"/>
        <item x="178"/>
        <item x="64"/>
        <item x="1"/>
        <item x="90"/>
        <item x="163"/>
        <item x="78"/>
        <item x="169"/>
        <item x="159"/>
        <item x="81"/>
        <item x="131"/>
        <item x="40"/>
        <item x="88"/>
        <item x="93"/>
        <item x="142"/>
        <item x="121"/>
        <item x="84"/>
        <item x="153"/>
        <item x="96"/>
        <item x="25"/>
        <item x="189"/>
        <item x="48"/>
        <item x="172"/>
        <item x="12"/>
        <item x="112"/>
        <item x="34"/>
        <item x="97"/>
        <item x="130"/>
        <item x="75"/>
        <item x="46"/>
        <item x="51"/>
        <item x="44"/>
        <item x="141"/>
        <item x="58"/>
        <item x="116"/>
        <item x="158"/>
        <item x="76"/>
        <item x="89"/>
        <item x="124"/>
        <item x="104"/>
        <item x="79"/>
        <item x="109"/>
        <item x="167"/>
        <item x="6"/>
        <item x="85"/>
        <item x="11"/>
        <item x="127"/>
        <item x="146"/>
        <item x="59"/>
        <item x="67"/>
        <item x="60"/>
        <item x="37"/>
        <item x="126"/>
        <item x="139"/>
        <item x="87"/>
        <item x="30"/>
        <item x="192"/>
        <item x="195"/>
        <item x="140"/>
        <item x="185"/>
        <item x="15"/>
        <item x="18"/>
        <item x="74"/>
        <item x="10"/>
        <item x="144"/>
        <item x="174"/>
        <item x="160"/>
        <item x="155"/>
        <item x="107"/>
        <item t="default"/>
      </items>
    </pivotField>
    <pivotField showAll="0"/>
    <pivotField showAll="0"/>
    <pivotField numFmtId="14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4" baseField="0" baseItem="0"/>
    <dataField name="Sum of Profit" fld="8" baseField="0" baseItem="0"/>
  </dataFields>
  <chartFormats count="14">
    <chartFormat chart="3" format="20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0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20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3" format="20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3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3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3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3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3" format="2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3" format="2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3" format="2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3" format="2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3" format="215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3" format="21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8F1955-D8C9-435D-8F25-B867FFB7CE33}" name="Table1" displayName="Table1" ref="A1:M201" totalsRowShown="0" headerRowDxfId="17" dataDxfId="15" headerRowBorderDxfId="16" tableBorderDxfId="14" totalsRowBorderDxfId="13">
  <autoFilter ref="A1:M201" xr:uid="{248F1955-D8C9-435D-8F25-B867FFB7CE33}"/>
  <tableColumns count="13">
    <tableColumn id="1" xr3:uid="{F2EE53D0-B230-4CA0-A976-2748E7DF82A9}" name="Customer_ID" dataDxfId="12"/>
    <tableColumn id="2" xr3:uid="{760C90DB-9012-46D3-ADB3-09EBD252A4E6}" name="Customer_Name" dataDxfId="11"/>
    <tableColumn id="3" xr3:uid="{BED05CFD-ADF5-4B39-A17A-A4683CD4C325}" name="Region" dataDxfId="10"/>
    <tableColumn id="4" xr3:uid="{9067C834-82F3-4F51-9557-742ECD526136}" name="Product_Category" dataDxfId="9"/>
    <tableColumn id="5" xr3:uid="{7B553A52-A890-4218-BAC9-3B5B9B0F95F6}" name="Sales" dataDxfId="8"/>
    <tableColumn id="6" xr3:uid="{4118FF07-1B33-428E-9225-896D1768C014}" name="Quantity" dataDxfId="7"/>
    <tableColumn id="7" xr3:uid="{3361FB3D-7A2F-4D91-844F-3C36D2F380A3}" name="Discount" dataDxfId="6"/>
    <tableColumn id="8" xr3:uid="{8C1F1E30-557E-49D1-8A09-C013DD8AE141}" name="Order_Date" dataDxfId="5"/>
    <tableColumn id="9" xr3:uid="{772A509F-B683-47C0-9E24-C3BD06DE70C0}" name="Profit" dataDxfId="4"/>
    <tableColumn id="10" xr3:uid="{5F43CCD8-D6D8-43FF-8149-D1C502780CD9}" name="D_Type" dataDxfId="3">
      <calculatedColumnFormula>_xlfn.IFS(G2=0,"No Discount", G2&lt;=0.1,"Low Discount",G2&lt;=0.15,"Medium Discount",G2&gt;0.15,"High Discount")</calculatedColumnFormula>
    </tableColumn>
    <tableColumn id="11" xr3:uid="{3259DF57-75DB-4A73-8028-5593187A701F}" name="Timestamp" dataDxfId="2">
      <calculatedColumnFormula>NOW()</calculatedColumnFormula>
    </tableColumn>
    <tableColumn id="12" xr3:uid="{347C493E-7664-4D94-9ECA-40B4BD6FD210}" name="High_Sales" dataDxfId="1">
      <calculatedColumnFormula>IF(Table1[Sales]&gt;1000,"High purchase","Normal purchase")</calculatedColumnFormula>
    </tableColumn>
    <tableColumn id="13" xr3:uid="{F67F708B-0B9C-4A68-9FE6-CE2336AE50EC}" name="Profit Margin" dataDxfId="0">
      <calculatedColumnFormula>Table1[[#This Row],[Profit]]/Table1[[#This Row],[Sales]]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D82B-8F0D-44F8-B582-83B7D8517868}">
  <sheetPr>
    <outlinePr summaryBelow="0"/>
  </sheetPr>
  <dimension ref="B1:G13"/>
  <sheetViews>
    <sheetView showGridLines="0" workbookViewId="0">
      <selection activeCell="F18" sqref="F18"/>
    </sheetView>
  </sheetViews>
  <sheetFormatPr defaultRowHeight="14.4" outlineLevelRow="1" outlineLevelCol="1" x14ac:dyDescent="0.3"/>
  <cols>
    <col min="3" max="3" width="20.44140625" customWidth="1"/>
    <col min="4" max="7" width="13.109375" bestFit="1" customWidth="1" outlineLevel="1"/>
  </cols>
  <sheetData>
    <row r="1" spans="2:7" ht="15" thickBot="1" x14ac:dyDescent="0.35"/>
    <row r="2" spans="2:7" ht="15.6" x14ac:dyDescent="0.3">
      <c r="B2" s="20" t="s">
        <v>85</v>
      </c>
      <c r="C2" s="20"/>
      <c r="D2" s="24"/>
      <c r="E2" s="24"/>
      <c r="F2" s="24"/>
      <c r="G2" s="24"/>
    </row>
    <row r="3" spans="2:7" ht="15.6" collapsed="1" x14ac:dyDescent="0.3">
      <c r="B3" s="19"/>
      <c r="C3" s="19"/>
      <c r="D3" s="25" t="s">
        <v>87</v>
      </c>
      <c r="E3" s="25" t="s">
        <v>91</v>
      </c>
      <c r="F3" s="25" t="s">
        <v>92</v>
      </c>
      <c r="G3" s="25" t="s">
        <v>93</v>
      </c>
    </row>
    <row r="4" spans="2:7" hidden="1" outlineLevel="1" x14ac:dyDescent="0.3">
      <c r="B4" s="22"/>
      <c r="C4" s="22"/>
      <c r="E4" s="29">
        <v>1</v>
      </c>
      <c r="F4" s="29">
        <v>2</v>
      </c>
      <c r="G4" s="29">
        <v>3</v>
      </c>
    </row>
    <row r="5" spans="2:7" x14ac:dyDescent="0.3">
      <c r="B5" s="23" t="s">
        <v>86</v>
      </c>
      <c r="C5" s="23"/>
      <c r="D5" s="21"/>
      <c r="E5" s="21"/>
      <c r="F5" s="21"/>
      <c r="G5" s="21"/>
    </row>
    <row r="6" spans="2:7" outlineLevel="1" x14ac:dyDescent="0.3">
      <c r="B6" s="22"/>
      <c r="C6" s="22" t="s">
        <v>94</v>
      </c>
      <c r="D6">
        <v>13253.9</v>
      </c>
      <c r="E6" s="28">
        <v>13916.594999999999</v>
      </c>
      <c r="F6" s="28">
        <v>15241.985000000001</v>
      </c>
      <c r="G6" s="28">
        <v>17230.07</v>
      </c>
    </row>
    <row r="7" spans="2:7" outlineLevel="1" x14ac:dyDescent="0.3">
      <c r="B7" s="22"/>
      <c r="C7" s="22" t="s">
        <v>82</v>
      </c>
      <c r="D7">
        <v>29851.040000000001</v>
      </c>
      <c r="E7" s="28">
        <v>31343.592000000001</v>
      </c>
      <c r="F7" s="28">
        <v>34328.696000000004</v>
      </c>
      <c r="G7" s="28">
        <v>38806.351999999999</v>
      </c>
    </row>
    <row r="8" spans="2:7" outlineLevel="1" x14ac:dyDescent="0.3">
      <c r="B8" s="22"/>
      <c r="C8" s="22" t="s">
        <v>83</v>
      </c>
      <c r="D8">
        <v>9571.4</v>
      </c>
      <c r="E8" s="28">
        <v>10049.969999999999</v>
      </c>
      <c r="F8" s="28">
        <v>11007.11</v>
      </c>
      <c r="G8" s="28">
        <v>12442.82</v>
      </c>
    </row>
    <row r="9" spans="2:7" outlineLevel="1" x14ac:dyDescent="0.3">
      <c r="B9" s="22"/>
      <c r="C9" s="22" t="s">
        <v>84</v>
      </c>
      <c r="D9">
        <v>15610.67</v>
      </c>
      <c r="E9" s="28">
        <v>16391.2035</v>
      </c>
      <c r="F9" s="28">
        <v>17952.270499999999</v>
      </c>
      <c r="G9" s="28">
        <v>20293.870999999999</v>
      </c>
    </row>
    <row r="10" spans="2:7" ht="15" thickBot="1" x14ac:dyDescent="0.35">
      <c r="B10" s="26"/>
      <c r="C10" s="26" t="s">
        <v>95</v>
      </c>
      <c r="D10" s="27">
        <f>SUM(D6:D9)</f>
        <v>68287.010000000009</v>
      </c>
      <c r="E10" s="27">
        <f>SUM(E6:E9)</f>
        <v>71701.360499999995</v>
      </c>
      <c r="F10" s="27">
        <f>SUM(F6:F9)</f>
        <v>78530.061500000011</v>
      </c>
      <c r="G10" s="27">
        <f>SUM(G6:G9)</f>
        <v>88773.112999999998</v>
      </c>
    </row>
    <row r="11" spans="2:7" x14ac:dyDescent="0.3">
      <c r="B11" t="s">
        <v>88</v>
      </c>
    </row>
    <row r="12" spans="2:7" x14ac:dyDescent="0.3">
      <c r="B12" t="s">
        <v>89</v>
      </c>
    </row>
    <row r="13" spans="2:7" x14ac:dyDescent="0.3">
      <c r="B13" t="s">
        <v>90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926A8-B778-415E-BB2C-F321830A3A78}">
  <dimension ref="A1:I18"/>
  <sheetViews>
    <sheetView workbookViewId="0">
      <selection activeCell="L12" sqref="L12"/>
    </sheetView>
  </sheetViews>
  <sheetFormatPr defaultRowHeight="14.4" x14ac:dyDescent="0.3"/>
  <cols>
    <col min="1" max="1" width="17.44140625" bestFit="1" customWidth="1"/>
    <col min="2" max="2" width="12.6640625" bestFit="1" customWidth="1"/>
    <col min="3" max="3" width="13.44140625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.109375" bestFit="1" customWidth="1"/>
  </cols>
  <sheetData>
    <row r="1" spans="1:9" x14ac:dyDescent="0.3">
      <c r="A1" t="s">
        <v>96</v>
      </c>
    </row>
    <row r="2" spans="1:9" ht="15" thickBot="1" x14ac:dyDescent="0.35"/>
    <row r="3" spans="1:9" x14ac:dyDescent="0.3">
      <c r="A3" s="39" t="s">
        <v>97</v>
      </c>
      <c r="B3" s="39"/>
    </row>
    <row r="4" spans="1:9" x14ac:dyDescent="0.3">
      <c r="A4" t="s">
        <v>98</v>
      </c>
      <c r="B4">
        <v>0.77356566420146511</v>
      </c>
    </row>
    <row r="5" spans="1:9" x14ac:dyDescent="0.3">
      <c r="A5" t="s">
        <v>99</v>
      </c>
      <c r="B5">
        <v>0.59840383683145382</v>
      </c>
    </row>
    <row r="6" spans="1:9" x14ac:dyDescent="0.3">
      <c r="A6" t="s">
        <v>100</v>
      </c>
      <c r="B6">
        <v>0.59636527762755254</v>
      </c>
    </row>
    <row r="7" spans="1:9" x14ac:dyDescent="0.3">
      <c r="A7" t="s">
        <v>101</v>
      </c>
      <c r="B7">
        <v>86.471707018508098</v>
      </c>
    </row>
    <row r="8" spans="1:9" ht="15" thickBot="1" x14ac:dyDescent="0.35">
      <c r="A8" s="37" t="s">
        <v>102</v>
      </c>
      <c r="B8" s="37">
        <v>199</v>
      </c>
    </row>
    <row r="10" spans="1:9" ht="15" thickBot="1" x14ac:dyDescent="0.35">
      <c r="A10" t="s">
        <v>103</v>
      </c>
    </row>
    <row r="11" spans="1:9" x14ac:dyDescent="0.3">
      <c r="A11" s="38"/>
      <c r="B11" s="38" t="s">
        <v>107</v>
      </c>
      <c r="C11" s="38" t="s">
        <v>108</v>
      </c>
      <c r="D11" s="38" t="s">
        <v>109</v>
      </c>
      <c r="E11" s="38" t="s">
        <v>110</v>
      </c>
      <c r="F11" s="38" t="s">
        <v>111</v>
      </c>
    </row>
    <row r="12" spans="1:9" x14ac:dyDescent="0.3">
      <c r="A12" t="s">
        <v>104</v>
      </c>
      <c r="B12">
        <v>1</v>
      </c>
      <c r="C12">
        <v>2194922.0703649437</v>
      </c>
      <c r="D12">
        <v>2194922.0703649437</v>
      </c>
      <c r="E12">
        <v>293.54253518184368</v>
      </c>
      <c r="F12">
        <v>6.8782375878390769E-41</v>
      </c>
    </row>
    <row r="13" spans="1:9" x14ac:dyDescent="0.3">
      <c r="A13" t="s">
        <v>105</v>
      </c>
      <c r="B13">
        <v>197</v>
      </c>
      <c r="C13">
        <v>1473039.1545948565</v>
      </c>
      <c r="D13">
        <v>7477.3561146947031</v>
      </c>
    </row>
    <row r="14" spans="1:9" ht="15" thickBot="1" x14ac:dyDescent="0.35">
      <c r="A14" s="37" t="s">
        <v>95</v>
      </c>
      <c r="B14" s="37">
        <v>198</v>
      </c>
      <c r="C14" s="37">
        <v>3667961.2249598</v>
      </c>
      <c r="D14" s="37"/>
      <c r="E14" s="37"/>
      <c r="F14" s="37"/>
    </row>
    <row r="15" spans="1:9" ht="15" thickBot="1" x14ac:dyDescent="0.35"/>
    <row r="16" spans="1:9" x14ac:dyDescent="0.3">
      <c r="A16" s="38"/>
      <c r="B16" s="38" t="s">
        <v>112</v>
      </c>
      <c r="C16" s="38" t="s">
        <v>101</v>
      </c>
      <c r="D16" s="38" t="s">
        <v>113</v>
      </c>
      <c r="E16" s="38" t="s">
        <v>114</v>
      </c>
      <c r="F16" s="38" t="s">
        <v>115</v>
      </c>
      <c r="G16" s="38" t="s">
        <v>116</v>
      </c>
      <c r="H16" s="38" t="s">
        <v>117</v>
      </c>
      <c r="I16" s="38" t="s">
        <v>118</v>
      </c>
    </row>
    <row r="17" spans="1:9" x14ac:dyDescent="0.3">
      <c r="A17" t="s">
        <v>106</v>
      </c>
      <c r="B17">
        <v>-0.97824544662927337</v>
      </c>
      <c r="C17">
        <v>20.907197536053534</v>
      </c>
      <c r="D17">
        <v>-4.6789888742493228E-2</v>
      </c>
      <c r="E17">
        <v>0.96272808608450733</v>
      </c>
      <c r="F17">
        <v>-42.208891362546005</v>
      </c>
      <c r="G17">
        <v>40.252400469287458</v>
      </c>
      <c r="H17">
        <v>-42.208891362546005</v>
      </c>
      <c r="I17">
        <v>40.252400469287458</v>
      </c>
    </row>
    <row r="18" spans="1:9" ht="15" thickBot="1" x14ac:dyDescent="0.35">
      <c r="A18" s="37">
        <v>1036.0899999999999</v>
      </c>
      <c r="B18" s="37">
        <v>0.35096067947030868</v>
      </c>
      <c r="C18" s="37">
        <v>2.0484385572447462E-2</v>
      </c>
      <c r="D18" s="37">
        <v>17.133083061196064</v>
      </c>
      <c r="E18" s="37">
        <v>6.8782375878393705E-41</v>
      </c>
      <c r="F18" s="37">
        <v>0.31056385216305021</v>
      </c>
      <c r="G18" s="37">
        <v>0.39135750677756714</v>
      </c>
      <c r="H18" s="37">
        <v>0.31056385216305021</v>
      </c>
      <c r="I18" s="37">
        <v>0.39135750677756714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DF73D-B8CC-4140-BF96-31C1C3D0083D}">
  <dimension ref="A1:B15"/>
  <sheetViews>
    <sheetView workbookViewId="0">
      <selection activeCell="F28" sqref="F28"/>
    </sheetView>
  </sheetViews>
  <sheetFormatPr defaultRowHeight="14.4" x14ac:dyDescent="0.3"/>
  <cols>
    <col min="1" max="1" width="16.5546875" bestFit="1" customWidth="1"/>
    <col min="2" max="2" width="18.109375" customWidth="1"/>
  </cols>
  <sheetData>
    <row r="1" spans="1:2" x14ac:dyDescent="0.3">
      <c r="A1" s="50" t="s">
        <v>131</v>
      </c>
      <c r="B1" s="51"/>
    </row>
    <row r="3" spans="1:2" x14ac:dyDescent="0.3">
      <c r="A3" t="s">
        <v>119</v>
      </c>
      <c r="B3">
        <v>341.43505000000005</v>
      </c>
    </row>
    <row r="4" spans="1:2" x14ac:dyDescent="0.3">
      <c r="A4" t="s">
        <v>101</v>
      </c>
      <c r="B4">
        <v>9.6001196472332531</v>
      </c>
    </row>
    <row r="5" spans="1:2" x14ac:dyDescent="0.3">
      <c r="A5" t="s">
        <v>120</v>
      </c>
      <c r="B5">
        <v>332.255</v>
      </c>
    </row>
    <row r="6" spans="1:2" x14ac:dyDescent="0.3">
      <c r="A6" t="s">
        <v>121</v>
      </c>
      <c r="B6" t="e">
        <v>#N/A</v>
      </c>
    </row>
    <row r="7" spans="1:2" x14ac:dyDescent="0.3">
      <c r="A7" t="s">
        <v>122</v>
      </c>
      <c r="B7">
        <v>135.7661940552168</v>
      </c>
    </row>
    <row r="8" spans="1:2" x14ac:dyDescent="0.3">
      <c r="A8" t="s">
        <v>123</v>
      </c>
      <c r="B8">
        <v>18432.459448238787</v>
      </c>
    </row>
    <row r="9" spans="1:2" x14ac:dyDescent="0.3">
      <c r="A9" t="s">
        <v>124</v>
      </c>
      <c r="B9">
        <v>0.26450643813582442</v>
      </c>
    </row>
    <row r="10" spans="1:2" x14ac:dyDescent="0.3">
      <c r="A10" t="s">
        <v>125</v>
      </c>
      <c r="B10">
        <v>0.57339636063424715</v>
      </c>
    </row>
    <row r="11" spans="1:2" x14ac:dyDescent="0.3">
      <c r="A11" t="s">
        <v>126</v>
      </c>
      <c r="B11">
        <v>704.83</v>
      </c>
    </row>
    <row r="12" spans="1:2" x14ac:dyDescent="0.3">
      <c r="A12" t="s">
        <v>127</v>
      </c>
      <c r="B12">
        <v>64.63</v>
      </c>
    </row>
    <row r="13" spans="1:2" x14ac:dyDescent="0.3">
      <c r="A13" t="s">
        <v>128</v>
      </c>
      <c r="B13">
        <v>769.46</v>
      </c>
    </row>
    <row r="14" spans="1:2" x14ac:dyDescent="0.3">
      <c r="A14" t="s">
        <v>129</v>
      </c>
      <c r="B14">
        <v>68287.010000000009</v>
      </c>
    </row>
    <row r="15" spans="1:2" ht="15" thickBot="1" x14ac:dyDescent="0.35">
      <c r="A15" s="37" t="s">
        <v>130</v>
      </c>
      <c r="B15" s="37">
        <v>200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18D9-CCE1-4CD0-86BA-5D4584CB140C}">
  <dimension ref="A2:K46"/>
  <sheetViews>
    <sheetView topLeftCell="A13" workbookViewId="0">
      <selection activeCell="G12" sqref="G12"/>
    </sheetView>
  </sheetViews>
  <sheetFormatPr defaultRowHeight="14.4" x14ac:dyDescent="0.3"/>
  <cols>
    <col min="1" max="1" width="15" bestFit="1" customWidth="1"/>
    <col min="2" max="2" width="15.33203125" bestFit="1" customWidth="1"/>
    <col min="3" max="3" width="11.6640625" bestFit="1" customWidth="1"/>
    <col min="4" max="4" width="22" bestFit="1" customWidth="1"/>
    <col min="5" max="5" width="15.6640625" bestFit="1" customWidth="1"/>
    <col min="6" max="6" width="11.6640625" bestFit="1" customWidth="1"/>
    <col min="7" max="7" width="13.109375" bestFit="1" customWidth="1"/>
    <col min="8" max="8" width="11.6640625" bestFit="1" customWidth="1"/>
    <col min="9" max="10" width="12.109375" bestFit="1" customWidth="1"/>
    <col min="11" max="11" width="14.88671875" bestFit="1" customWidth="1"/>
    <col min="12" max="12" width="13.5546875" bestFit="1" customWidth="1"/>
    <col min="13" max="13" width="10.77734375" bestFit="1" customWidth="1"/>
    <col min="14" max="134" width="7" bestFit="1" customWidth="1"/>
    <col min="135" max="135" width="7.5546875" bestFit="1" customWidth="1"/>
    <col min="136" max="190" width="7" bestFit="1" customWidth="1"/>
    <col min="191" max="191" width="7.5546875" bestFit="1" customWidth="1"/>
    <col min="192" max="192" width="7" bestFit="1" customWidth="1"/>
    <col min="193" max="193" width="11.6640625" bestFit="1" customWidth="1"/>
    <col min="194" max="194" width="7.5546875" bestFit="1" customWidth="1"/>
    <col min="195" max="196" width="7" bestFit="1" customWidth="1"/>
    <col min="197" max="202" width="7.5546875" bestFit="1" customWidth="1"/>
    <col min="203" max="204" width="7" bestFit="1" customWidth="1"/>
    <col min="205" max="206" width="7.5546875" bestFit="1" customWidth="1"/>
    <col min="207" max="211" width="7" bestFit="1" customWidth="1"/>
    <col min="212" max="212" width="7.5546875" bestFit="1" customWidth="1"/>
    <col min="213" max="215" width="7" bestFit="1" customWidth="1"/>
    <col min="216" max="219" width="7.5546875" bestFit="1" customWidth="1"/>
    <col min="220" max="223" width="7" bestFit="1" customWidth="1"/>
    <col min="224" max="226" width="7.5546875" bestFit="1" customWidth="1"/>
    <col min="227" max="232" width="7" bestFit="1" customWidth="1"/>
    <col min="233" max="233" width="7.5546875" bestFit="1" customWidth="1"/>
    <col min="234" max="235" width="7" bestFit="1" customWidth="1"/>
    <col min="236" max="237" width="7.5546875" bestFit="1" customWidth="1"/>
    <col min="238" max="238" width="7" bestFit="1" customWidth="1"/>
    <col min="239" max="239" width="7.5546875" bestFit="1" customWidth="1"/>
    <col min="240" max="240" width="7" bestFit="1" customWidth="1"/>
    <col min="241" max="244" width="7.5546875" bestFit="1" customWidth="1"/>
    <col min="245" max="246" width="7" bestFit="1" customWidth="1"/>
    <col min="247" max="247" width="7.5546875" bestFit="1" customWidth="1"/>
    <col min="248" max="248" width="7" bestFit="1" customWidth="1"/>
    <col min="249" max="250" width="7.5546875" bestFit="1" customWidth="1"/>
    <col min="251" max="256" width="7" bestFit="1" customWidth="1"/>
    <col min="257" max="257" width="7.5546875" bestFit="1" customWidth="1"/>
    <col min="258" max="259" width="7" bestFit="1" customWidth="1"/>
    <col min="260" max="260" width="7.5546875" bestFit="1" customWidth="1"/>
    <col min="261" max="261" width="7" bestFit="1" customWidth="1"/>
    <col min="262" max="262" width="7.5546875" bestFit="1" customWidth="1"/>
    <col min="263" max="264" width="7" bestFit="1" customWidth="1"/>
    <col min="265" max="266" width="7.5546875" bestFit="1" customWidth="1"/>
    <col min="267" max="267" width="7" bestFit="1" customWidth="1"/>
    <col min="268" max="268" width="7.5546875" bestFit="1" customWidth="1"/>
    <col min="269" max="271" width="7" bestFit="1" customWidth="1"/>
    <col min="272" max="272" width="7.5546875" bestFit="1" customWidth="1"/>
    <col min="273" max="274" width="7" bestFit="1" customWidth="1"/>
    <col min="275" max="276" width="7.5546875" bestFit="1" customWidth="1"/>
    <col min="277" max="277" width="7" bestFit="1" customWidth="1"/>
    <col min="278" max="278" width="7.5546875" bestFit="1" customWidth="1"/>
    <col min="279" max="279" width="7" bestFit="1" customWidth="1"/>
    <col min="280" max="282" width="7.5546875" bestFit="1" customWidth="1"/>
    <col min="283" max="283" width="7" bestFit="1" customWidth="1"/>
    <col min="284" max="285" width="7.5546875" bestFit="1" customWidth="1"/>
    <col min="286" max="290" width="7" bestFit="1" customWidth="1"/>
    <col min="291" max="294" width="7.5546875" bestFit="1" customWidth="1"/>
    <col min="295" max="295" width="7" bestFit="1" customWidth="1"/>
    <col min="296" max="296" width="7.5546875" bestFit="1" customWidth="1"/>
    <col min="297" max="297" width="7" bestFit="1" customWidth="1"/>
    <col min="298" max="299" width="7.5546875" bestFit="1" customWidth="1"/>
    <col min="300" max="302" width="7" bestFit="1" customWidth="1"/>
    <col min="303" max="304" width="7.5546875" bestFit="1" customWidth="1"/>
    <col min="305" max="305" width="7" bestFit="1" customWidth="1"/>
    <col min="306" max="311" width="7.5546875" bestFit="1" customWidth="1"/>
    <col min="312" max="314" width="7" bestFit="1" customWidth="1"/>
    <col min="315" max="315" width="7.5546875" bestFit="1" customWidth="1"/>
    <col min="316" max="316" width="7" bestFit="1" customWidth="1"/>
    <col min="317" max="317" width="7.5546875" bestFit="1" customWidth="1"/>
    <col min="318" max="320" width="7" bestFit="1" customWidth="1"/>
    <col min="321" max="321" width="7.5546875" bestFit="1" customWidth="1"/>
    <col min="322" max="322" width="7" bestFit="1" customWidth="1"/>
    <col min="323" max="327" width="7.5546875" bestFit="1" customWidth="1"/>
    <col min="328" max="329" width="7" bestFit="1" customWidth="1"/>
    <col min="330" max="331" width="7.5546875" bestFit="1" customWidth="1"/>
    <col min="332" max="336" width="7" bestFit="1" customWidth="1"/>
    <col min="337" max="338" width="7.5546875" bestFit="1" customWidth="1"/>
    <col min="339" max="341" width="7" bestFit="1" customWidth="1"/>
    <col min="342" max="344" width="7.5546875" bestFit="1" customWidth="1"/>
    <col min="345" max="345" width="7" bestFit="1" customWidth="1"/>
    <col min="346" max="346" width="7.5546875" bestFit="1" customWidth="1"/>
    <col min="347" max="347" width="7" bestFit="1" customWidth="1"/>
    <col min="348" max="348" width="7.5546875" bestFit="1" customWidth="1"/>
    <col min="349" max="352" width="7" bestFit="1" customWidth="1"/>
    <col min="353" max="353" width="7.5546875" bestFit="1" customWidth="1"/>
    <col min="354" max="354" width="7" bestFit="1" customWidth="1"/>
    <col min="355" max="358" width="7.5546875" bestFit="1" customWidth="1"/>
    <col min="359" max="360" width="7" bestFit="1" customWidth="1"/>
    <col min="361" max="361" width="7.5546875" bestFit="1" customWidth="1"/>
    <col min="362" max="362" width="7" bestFit="1" customWidth="1"/>
    <col min="363" max="366" width="7.5546875" bestFit="1" customWidth="1"/>
    <col min="367" max="374" width="7" bestFit="1" customWidth="1"/>
    <col min="375" max="375" width="7.5546875" bestFit="1" customWidth="1"/>
    <col min="376" max="377" width="7" bestFit="1" customWidth="1"/>
    <col min="378" max="378" width="7.5546875" bestFit="1" customWidth="1"/>
    <col min="379" max="379" width="7" bestFit="1" customWidth="1"/>
    <col min="380" max="382" width="7.5546875" bestFit="1" customWidth="1"/>
    <col min="383" max="383" width="7" bestFit="1" customWidth="1"/>
    <col min="384" max="384" width="16.88671875" bestFit="1" customWidth="1"/>
    <col min="385" max="385" width="16.44140625" bestFit="1" customWidth="1"/>
  </cols>
  <sheetData>
    <row r="2" spans="1:11" x14ac:dyDescent="0.3">
      <c r="A2" s="52" t="s">
        <v>85</v>
      </c>
      <c r="B2" s="53"/>
      <c r="E2" s="52" t="s">
        <v>132</v>
      </c>
      <c r="F2" s="53"/>
      <c r="H2" s="18" t="s">
        <v>145</v>
      </c>
      <c r="I2" s="17"/>
    </row>
    <row r="3" spans="1:11" x14ac:dyDescent="0.3">
      <c r="A3" s="11" t="s">
        <v>76</v>
      </c>
      <c r="B3" t="s">
        <v>80</v>
      </c>
      <c r="E3" s="11" t="s">
        <v>76</v>
      </c>
      <c r="F3" t="s">
        <v>78</v>
      </c>
      <c r="H3" s="11" t="s">
        <v>76</v>
      </c>
      <c r="I3" t="s">
        <v>78</v>
      </c>
      <c r="J3" t="s">
        <v>80</v>
      </c>
      <c r="K3" s="18" t="s">
        <v>148</v>
      </c>
    </row>
    <row r="4" spans="1:11" x14ac:dyDescent="0.3">
      <c r="A4" s="12" t="s">
        <v>81</v>
      </c>
      <c r="B4">
        <v>13253.9</v>
      </c>
      <c r="E4" s="12" t="s">
        <v>23</v>
      </c>
      <c r="F4">
        <v>20774.739999999998</v>
      </c>
      <c r="H4" s="12" t="s">
        <v>133</v>
      </c>
      <c r="I4">
        <v>14914.650000000001</v>
      </c>
      <c r="J4">
        <v>5763.4</v>
      </c>
      <c r="K4" s="33"/>
    </row>
    <row r="5" spans="1:11" x14ac:dyDescent="0.3">
      <c r="A5" s="12" t="s">
        <v>82</v>
      </c>
      <c r="B5">
        <v>29851.040000000001</v>
      </c>
      <c r="E5" s="12" t="s">
        <v>31</v>
      </c>
      <c r="F5">
        <v>17143.289999999997</v>
      </c>
      <c r="H5" s="12" t="s">
        <v>134</v>
      </c>
      <c r="I5">
        <v>14006.359999999999</v>
      </c>
      <c r="J5">
        <v>5039.2299999999996</v>
      </c>
      <c r="K5" s="45">
        <f t="shared" ref="K5:K15" si="0">(I5-I4)/I4</f>
        <v>-6.0899183018039482E-2</v>
      </c>
    </row>
    <row r="6" spans="1:11" x14ac:dyDescent="0.3">
      <c r="A6" s="12" t="s">
        <v>83</v>
      </c>
      <c r="B6">
        <v>9571.4</v>
      </c>
      <c r="E6" s="12" t="s">
        <v>55</v>
      </c>
      <c r="F6">
        <v>11915.829999999998</v>
      </c>
      <c r="H6" s="12" t="s">
        <v>135</v>
      </c>
      <c r="I6">
        <v>17655.219999999998</v>
      </c>
      <c r="J6">
        <v>7071.39</v>
      </c>
      <c r="K6" s="45">
        <f t="shared" si="0"/>
        <v>0.26051450912299834</v>
      </c>
    </row>
    <row r="7" spans="1:11" x14ac:dyDescent="0.3">
      <c r="A7" s="12" t="s">
        <v>84</v>
      </c>
      <c r="B7">
        <v>15610.67</v>
      </c>
      <c r="E7" s="12" t="s">
        <v>38</v>
      </c>
      <c r="F7">
        <v>11398.32</v>
      </c>
      <c r="H7" s="12" t="s">
        <v>136</v>
      </c>
      <c r="I7">
        <v>22242.129999999997</v>
      </c>
      <c r="J7">
        <v>7642.86</v>
      </c>
      <c r="K7" s="45">
        <f t="shared" si="0"/>
        <v>0.2598047489637626</v>
      </c>
    </row>
    <row r="8" spans="1:11" x14ac:dyDescent="0.3">
      <c r="A8" s="12" t="s">
        <v>77</v>
      </c>
      <c r="B8">
        <v>68287.009999999995</v>
      </c>
      <c r="E8" s="12" t="s">
        <v>29</v>
      </c>
      <c r="F8">
        <v>9970.1999999999989</v>
      </c>
      <c r="H8" s="12" t="s">
        <v>137</v>
      </c>
      <c r="I8">
        <v>18507.339999999997</v>
      </c>
      <c r="J8">
        <v>6121.3499999999995</v>
      </c>
      <c r="K8" s="45">
        <f t="shared" si="0"/>
        <v>-0.16791512323684832</v>
      </c>
    </row>
    <row r="9" spans="1:11" x14ac:dyDescent="0.3">
      <c r="E9" s="12" t="s">
        <v>45</v>
      </c>
      <c r="F9">
        <v>8635.9500000000007</v>
      </c>
      <c r="H9" s="12" t="s">
        <v>138</v>
      </c>
      <c r="I9">
        <v>20187.509999999998</v>
      </c>
      <c r="J9">
        <v>6918</v>
      </c>
      <c r="K9" s="45">
        <f t="shared" si="0"/>
        <v>9.0783980842195702E-2</v>
      </c>
    </row>
    <row r="10" spans="1:11" x14ac:dyDescent="0.3">
      <c r="E10" s="12" t="s">
        <v>61</v>
      </c>
      <c r="F10">
        <v>8543.9699999999993</v>
      </c>
      <c r="H10" s="12" t="s">
        <v>139</v>
      </c>
      <c r="I10">
        <v>11609.039999999999</v>
      </c>
      <c r="J10">
        <v>3743.85</v>
      </c>
      <c r="K10" s="45">
        <f t="shared" si="0"/>
        <v>-0.42493947990614001</v>
      </c>
    </row>
    <row r="11" spans="1:11" x14ac:dyDescent="0.3">
      <c r="E11" s="12" t="s">
        <v>14</v>
      </c>
      <c r="F11">
        <v>8331.8499999999985</v>
      </c>
      <c r="H11" s="12" t="s">
        <v>140</v>
      </c>
      <c r="I11">
        <v>10091.699999999999</v>
      </c>
      <c r="J11">
        <v>3302.84</v>
      </c>
      <c r="K11" s="45">
        <f t="shared" si="0"/>
        <v>-0.13070331396911375</v>
      </c>
    </row>
    <row r="12" spans="1:11" x14ac:dyDescent="0.3">
      <c r="E12" s="12" t="s">
        <v>48</v>
      </c>
      <c r="F12">
        <v>8090.12</v>
      </c>
      <c r="H12" s="12" t="s">
        <v>141</v>
      </c>
      <c r="I12">
        <v>20533.499999999996</v>
      </c>
      <c r="J12">
        <v>7457.5199999999995</v>
      </c>
      <c r="K12" s="45">
        <f t="shared" si="0"/>
        <v>1.0346918755016496</v>
      </c>
    </row>
    <row r="13" spans="1:11" x14ac:dyDescent="0.3">
      <c r="E13" s="12" t="s">
        <v>26</v>
      </c>
      <c r="F13">
        <v>7881.9</v>
      </c>
      <c r="H13" s="12" t="s">
        <v>142</v>
      </c>
      <c r="I13">
        <v>14215.240000000002</v>
      </c>
      <c r="J13">
        <v>4861.7</v>
      </c>
      <c r="K13" s="45">
        <f t="shared" si="0"/>
        <v>-0.30770496992719193</v>
      </c>
    </row>
    <row r="14" spans="1:11" x14ac:dyDescent="0.3">
      <c r="E14" s="12" t="s">
        <v>77</v>
      </c>
      <c r="F14">
        <v>112686.16999999998</v>
      </c>
      <c r="H14" s="12" t="s">
        <v>143</v>
      </c>
      <c r="I14">
        <v>20135.030000000002</v>
      </c>
      <c r="J14">
        <v>6814.8799999999992</v>
      </c>
      <c r="K14" s="45">
        <f t="shared" si="0"/>
        <v>0.4164396802305132</v>
      </c>
    </row>
    <row r="15" spans="1:11" x14ac:dyDescent="0.3">
      <c r="H15" s="12" t="s">
        <v>144</v>
      </c>
      <c r="I15">
        <v>11120.04</v>
      </c>
      <c r="J15">
        <v>3549.99</v>
      </c>
      <c r="K15" s="45">
        <f t="shared" si="0"/>
        <v>-0.44772667336477773</v>
      </c>
    </row>
    <row r="16" spans="1:11" x14ac:dyDescent="0.3">
      <c r="H16" s="12" t="s">
        <v>77</v>
      </c>
      <c r="I16">
        <v>195217.75999999995</v>
      </c>
      <c r="J16">
        <v>68287.009999999995</v>
      </c>
    </row>
    <row r="17" spans="1:11" x14ac:dyDescent="0.3">
      <c r="A17" s="52" t="s">
        <v>151</v>
      </c>
      <c r="B17" s="53"/>
    </row>
    <row r="18" spans="1:11" x14ac:dyDescent="0.3">
      <c r="A18" s="11" t="s">
        <v>76</v>
      </c>
      <c r="B18" t="s">
        <v>78</v>
      </c>
      <c r="C18" t="s">
        <v>80</v>
      </c>
    </row>
    <row r="19" spans="1:11" x14ac:dyDescent="0.3">
      <c r="A19" s="12" t="s">
        <v>34</v>
      </c>
      <c r="B19">
        <v>43468.33</v>
      </c>
      <c r="C19">
        <v>16068.4</v>
      </c>
      <c r="E19" s="52" t="s">
        <v>153</v>
      </c>
      <c r="F19" s="52"/>
      <c r="G19" s="52"/>
      <c r="H19" s="52"/>
      <c r="I19" s="52"/>
      <c r="J19" s="52"/>
      <c r="K19" s="52"/>
    </row>
    <row r="20" spans="1:11" x14ac:dyDescent="0.3">
      <c r="A20" s="12" t="s">
        <v>18</v>
      </c>
      <c r="B20">
        <v>32441.64</v>
      </c>
      <c r="C20">
        <v>11638.59</v>
      </c>
      <c r="E20" s="11" t="s">
        <v>80</v>
      </c>
      <c r="F20" s="11" t="s">
        <v>146</v>
      </c>
    </row>
    <row r="21" spans="1:11" x14ac:dyDescent="0.3">
      <c r="A21" s="12" t="s">
        <v>24</v>
      </c>
      <c r="B21">
        <v>34975.42</v>
      </c>
      <c r="C21">
        <v>11902.28</v>
      </c>
      <c r="E21" s="11" t="s">
        <v>76</v>
      </c>
      <c r="F21" t="s">
        <v>12</v>
      </c>
      <c r="G21" t="s">
        <v>15</v>
      </c>
      <c r="H21" t="s">
        <v>21</v>
      </c>
      <c r="I21" t="s">
        <v>27</v>
      </c>
      <c r="J21" t="s">
        <v>39</v>
      </c>
      <c r="K21" t="s">
        <v>77</v>
      </c>
    </row>
    <row r="22" spans="1:11" x14ac:dyDescent="0.3">
      <c r="A22" s="12" t="s">
        <v>20</v>
      </c>
      <c r="B22">
        <v>40248.79</v>
      </c>
      <c r="C22">
        <v>13691.91</v>
      </c>
      <c r="E22" s="12">
        <v>0</v>
      </c>
      <c r="F22">
        <v>2543.16</v>
      </c>
      <c r="G22">
        <v>4081.28</v>
      </c>
      <c r="H22">
        <v>2895.07</v>
      </c>
      <c r="I22">
        <v>2687.34</v>
      </c>
      <c r="J22">
        <v>3403.82</v>
      </c>
      <c r="K22">
        <v>15610.67</v>
      </c>
    </row>
    <row r="23" spans="1:11" x14ac:dyDescent="0.3">
      <c r="A23" s="12" t="s">
        <v>11</v>
      </c>
      <c r="B23">
        <v>44083.58</v>
      </c>
      <c r="C23">
        <v>14985.83</v>
      </c>
      <c r="E23" s="12">
        <v>0.05</v>
      </c>
      <c r="F23">
        <v>4765.8500000000004</v>
      </c>
      <c r="G23">
        <v>3358.89</v>
      </c>
      <c r="H23">
        <v>1325.19</v>
      </c>
      <c r="I23">
        <v>2601.87</v>
      </c>
      <c r="J23">
        <v>3032.93</v>
      </c>
      <c r="K23">
        <v>15084.73</v>
      </c>
    </row>
    <row r="24" spans="1:11" x14ac:dyDescent="0.3">
      <c r="A24" s="12" t="s">
        <v>77</v>
      </c>
      <c r="B24">
        <v>195217.76</v>
      </c>
      <c r="C24">
        <v>68287.009999999995</v>
      </c>
      <c r="E24" s="12">
        <v>0.1</v>
      </c>
      <c r="F24">
        <v>4024.9</v>
      </c>
      <c r="G24">
        <v>5140.9399999999996</v>
      </c>
      <c r="H24">
        <v>896.44</v>
      </c>
      <c r="I24">
        <v>2120.09</v>
      </c>
      <c r="J24">
        <v>2583.94</v>
      </c>
      <c r="K24">
        <v>14766.31</v>
      </c>
    </row>
    <row r="25" spans="1:11" x14ac:dyDescent="0.3">
      <c r="E25" s="12">
        <v>0.15</v>
      </c>
      <c r="F25">
        <v>2592.27</v>
      </c>
      <c r="G25">
        <v>1625.86</v>
      </c>
      <c r="H25">
        <v>1453.03</v>
      </c>
      <c r="I25">
        <v>2442.3200000000002</v>
      </c>
      <c r="J25">
        <v>1457.92</v>
      </c>
      <c r="K25">
        <v>9571.4</v>
      </c>
    </row>
    <row r="26" spans="1:11" x14ac:dyDescent="0.3">
      <c r="E26" s="12">
        <v>0.2</v>
      </c>
      <c r="F26">
        <v>2975.45</v>
      </c>
      <c r="G26">
        <v>4577.5200000000004</v>
      </c>
      <c r="H26">
        <v>2612.42</v>
      </c>
      <c r="I26">
        <v>1727.52</v>
      </c>
      <c r="J26">
        <v>1360.99</v>
      </c>
      <c r="K26">
        <v>13253.9</v>
      </c>
    </row>
    <row r="27" spans="1:11" x14ac:dyDescent="0.3">
      <c r="E27" s="12" t="s">
        <v>77</v>
      </c>
      <c r="F27">
        <v>16901.63</v>
      </c>
      <c r="G27">
        <v>18784.490000000002</v>
      </c>
      <c r="H27">
        <v>9182.15</v>
      </c>
      <c r="I27">
        <v>11579.14</v>
      </c>
      <c r="J27">
        <v>11839.6</v>
      </c>
      <c r="K27">
        <v>68287.009999999995</v>
      </c>
    </row>
    <row r="28" spans="1:11" x14ac:dyDescent="0.3">
      <c r="A28" s="52" t="s">
        <v>155</v>
      </c>
      <c r="B28" s="53"/>
      <c r="C28" s="53"/>
    </row>
    <row r="29" spans="1:11" x14ac:dyDescent="0.3">
      <c r="A29" s="11" t="s">
        <v>76</v>
      </c>
      <c r="B29" t="s">
        <v>161</v>
      </c>
      <c r="C29" t="s">
        <v>78</v>
      </c>
      <c r="E29" s="52" t="s">
        <v>152</v>
      </c>
      <c r="F29" s="52"/>
      <c r="G29" s="52"/>
      <c r="H29" s="52"/>
    </row>
    <row r="30" spans="1:11" x14ac:dyDescent="0.3">
      <c r="A30" s="12" t="s">
        <v>156</v>
      </c>
      <c r="B30" s="33">
        <v>427.36468085106367</v>
      </c>
      <c r="C30" s="33">
        <v>115601.26999999999</v>
      </c>
      <c r="E30" s="11" t="s">
        <v>76</v>
      </c>
      <c r="F30" t="s">
        <v>80</v>
      </c>
      <c r="G30" t="s">
        <v>154</v>
      </c>
      <c r="H30" t="s">
        <v>78</v>
      </c>
    </row>
    <row r="31" spans="1:11" x14ac:dyDescent="0.3">
      <c r="A31" s="12" t="s">
        <v>157</v>
      </c>
      <c r="B31" s="33">
        <v>265.2333018867925</v>
      </c>
      <c r="C31" s="33">
        <v>79616.490000000034</v>
      </c>
      <c r="E31" s="12" t="s">
        <v>12</v>
      </c>
      <c r="F31">
        <v>16901.63</v>
      </c>
      <c r="G31">
        <v>523</v>
      </c>
      <c r="H31">
        <v>47002.46</v>
      </c>
    </row>
    <row r="32" spans="1:11" x14ac:dyDescent="0.3">
      <c r="A32" s="12" t="s">
        <v>77</v>
      </c>
      <c r="B32" s="33">
        <v>341.43504999999999</v>
      </c>
      <c r="C32" s="33">
        <v>195217.75999999998</v>
      </c>
      <c r="E32" s="12" t="s">
        <v>15</v>
      </c>
      <c r="F32">
        <v>18784.490000000002</v>
      </c>
      <c r="G32">
        <v>386</v>
      </c>
      <c r="H32">
        <v>41927.589999999997</v>
      </c>
    </row>
    <row r="33" spans="1:9" x14ac:dyDescent="0.3">
      <c r="E33" s="12" t="s">
        <v>21</v>
      </c>
      <c r="F33">
        <v>9182.15</v>
      </c>
      <c r="G33">
        <v>418</v>
      </c>
      <c r="H33">
        <v>41044</v>
      </c>
    </row>
    <row r="34" spans="1:9" x14ac:dyDescent="0.3">
      <c r="E34" s="12" t="s">
        <v>27</v>
      </c>
      <c r="F34">
        <v>11579.14</v>
      </c>
      <c r="G34">
        <v>354</v>
      </c>
      <c r="H34">
        <v>36612.89</v>
      </c>
    </row>
    <row r="35" spans="1:9" x14ac:dyDescent="0.3">
      <c r="E35" s="12" t="s">
        <v>39</v>
      </c>
      <c r="F35">
        <v>11839.6</v>
      </c>
      <c r="G35">
        <v>318</v>
      </c>
      <c r="H35">
        <v>28630.82</v>
      </c>
    </row>
    <row r="36" spans="1:9" x14ac:dyDescent="0.3">
      <c r="E36" s="12" t="s">
        <v>77</v>
      </c>
      <c r="F36">
        <v>68287.009999999995</v>
      </c>
      <c r="G36">
        <v>1999</v>
      </c>
      <c r="H36">
        <v>195217.76</v>
      </c>
    </row>
    <row r="38" spans="1:9" x14ac:dyDescent="0.3">
      <c r="A38" s="11" t="s">
        <v>76</v>
      </c>
      <c r="B38" t="s">
        <v>159</v>
      </c>
    </row>
    <row r="39" spans="1:9" x14ac:dyDescent="0.3">
      <c r="A39" s="12" t="s">
        <v>12</v>
      </c>
      <c r="B39" s="45">
        <v>0.3583677046632085</v>
      </c>
      <c r="G39" s="52" t="s">
        <v>152</v>
      </c>
      <c r="H39" s="52"/>
      <c r="I39" s="52"/>
    </row>
    <row r="40" spans="1:9" x14ac:dyDescent="0.3">
      <c r="A40" s="12" t="s">
        <v>15</v>
      </c>
      <c r="B40" s="45">
        <v>0.4506095175242199</v>
      </c>
      <c r="G40" s="11" t="s">
        <v>76</v>
      </c>
      <c r="H40" t="s">
        <v>78</v>
      </c>
      <c r="I40" t="s">
        <v>80</v>
      </c>
    </row>
    <row r="41" spans="1:9" x14ac:dyDescent="0.3">
      <c r="A41" s="12" t="s">
        <v>21</v>
      </c>
      <c r="B41" s="45">
        <v>0.22500102196023627</v>
      </c>
      <c r="G41" s="12" t="s">
        <v>12</v>
      </c>
      <c r="H41">
        <v>47002.46</v>
      </c>
      <c r="I41">
        <v>16901.63</v>
      </c>
    </row>
    <row r="42" spans="1:9" x14ac:dyDescent="0.3">
      <c r="A42" s="12" t="s">
        <v>27</v>
      </c>
      <c r="B42" s="45">
        <v>0.31597260094800306</v>
      </c>
      <c r="G42" s="12" t="s">
        <v>15</v>
      </c>
      <c r="H42">
        <v>41927.589999999997</v>
      </c>
      <c r="I42">
        <v>18784.490000000002</v>
      </c>
    </row>
    <row r="43" spans="1:9" x14ac:dyDescent="0.3">
      <c r="A43" s="12" t="s">
        <v>39</v>
      </c>
      <c r="B43" s="45">
        <v>0.41370968481086762</v>
      </c>
      <c r="G43" s="12" t="s">
        <v>21</v>
      </c>
      <c r="H43">
        <v>41044</v>
      </c>
      <c r="I43">
        <v>9182.15</v>
      </c>
    </row>
    <row r="44" spans="1:9" x14ac:dyDescent="0.3">
      <c r="A44" s="12" t="s">
        <v>77</v>
      </c>
      <c r="B44" s="45">
        <v>0.34955032777272721</v>
      </c>
      <c r="G44" s="12" t="s">
        <v>27</v>
      </c>
      <c r="H44">
        <v>36612.89</v>
      </c>
      <c r="I44">
        <v>11579.14</v>
      </c>
    </row>
    <row r="45" spans="1:9" x14ac:dyDescent="0.3">
      <c r="G45" s="12" t="s">
        <v>39</v>
      </c>
      <c r="H45">
        <v>28630.82</v>
      </c>
      <c r="I45">
        <v>11839.6</v>
      </c>
    </row>
    <row r="46" spans="1:9" x14ac:dyDescent="0.3">
      <c r="G46" s="12" t="s">
        <v>77</v>
      </c>
      <c r="H46">
        <v>195217.76</v>
      </c>
      <c r="I46">
        <v>68287.009999999995</v>
      </c>
    </row>
  </sheetData>
  <scenarios current="0">
    <scenario name="a" locked="1" count="4" user="Arjun sinojia" comment="1">
      <inputCells r="I4" val="13916.595"/>
      <inputCells r="I5" val="31343.592"/>
      <inputCells r="I6" val="10049.97"/>
      <inputCells r="I7" val="16391.2035"/>
    </scenario>
    <scenario name="b" locked="1" count="4" user="Arjun sinojia" comment="2">
      <inputCells r="I4" val="15241.985"/>
      <inputCells r="I5" val="34328.696"/>
      <inputCells r="I6" val="11007.11"/>
      <inputCells r="I7" val="17952.2705"/>
    </scenario>
    <scenario name="c" locked="1" count="4" user="Arjun sinojia" comment="3">
      <inputCells r="I4" val="17230.07"/>
      <inputCells r="I5" val="38806.352"/>
      <inputCells r="I6" val="12442.82"/>
      <inputCells r="I7" val="20293.871"/>
    </scenario>
  </scenarios>
  <mergeCells count="7">
    <mergeCell ref="A28:C28"/>
    <mergeCell ref="E2:F2"/>
    <mergeCell ref="A17:B17"/>
    <mergeCell ref="G39:I39"/>
    <mergeCell ref="E29:H29"/>
    <mergeCell ref="E19:K19"/>
    <mergeCell ref="A2:B2"/>
  </mergeCells>
  <conditionalFormatting sqref="K4:K15">
    <cfRule type="iconSet" priority="4">
      <iconSet>
        <cfvo type="percent" val="0"/>
        <cfvo type="percent" val="0" gte="0"/>
        <cfvo type="percent" val="0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B61C5A91-044B-4798-9CC6-426C58E69B7E}">
            <x14:iconSet custom="1">
              <x14:cfvo type="percent">
                <xm:f>0</xm:f>
              </x14:cfvo>
              <x14:cfvo type="percent" gte="0">
                <xm:f>0</xm:f>
              </x14:cfvo>
              <x14:cfvo type="percent">
                <xm:f>0</xm:f>
              </x14:cfvo>
              <x14:cfIcon iconSet="3TrafficLights1" iconId="1"/>
              <x14:cfIcon iconSet="3TrafficLights1" iconId="0"/>
              <x14:cfIcon iconSet="3TrafficLights1" iconId="2"/>
            </x14:iconSet>
          </x14:cfRule>
          <x14:cfRule type="iconSet" priority="3" id="{87AB4B7C-9483-4828-B42D-EDA947FC3091}">
            <x14:iconSet iconSet="3Triangles" custom="1">
              <x14:cfvo type="percent">
                <xm:f>0</xm:f>
              </x14:cfvo>
              <x14:cfvo type="percent" gte="0">
                <xm:f>0</xm:f>
              </x14:cfvo>
              <x14:cfvo type="percent">
                <xm:f>0</xm:f>
              </x14:cfvo>
              <x14:cfIcon iconSet="3Triangles" iconId="0"/>
              <x14:cfIcon iconSet="NoIcons" iconId="0"/>
              <x14:cfIcon iconSet="3Triangles" iconId="2"/>
            </x14:iconSet>
          </x14:cfRule>
          <xm:sqref>K4:K15</xm:sqref>
        </x14:conditionalFormatting>
        <x14:conditionalFormatting xmlns:xm="http://schemas.microsoft.com/office/excel/2006/main">
          <x14:cfRule type="iconSet" priority="1" id="{F1ED7E26-03A7-4634-AA2B-7173DCBB756C}">
            <x14:iconSet iconSet="3Triangles" custom="1">
              <x14:cfvo type="percent">
                <xm:f>0</xm:f>
              </x14:cfvo>
              <x14:cfvo type="num" gte="0">
                <xm:f>0</xm:f>
              </x14:cfvo>
              <x14:cfvo type="num" gte="0">
                <xm:f>0</xm:f>
              </x14:cfvo>
              <x14:cfIcon iconSet="3Triangles" iconId="0"/>
              <x14:cfIcon iconSet="NoIcons" iconId="0"/>
              <x14:cfIcon iconSet="3Triangles" iconId="2"/>
            </x14:iconSet>
          </x14:cfRule>
          <xm:sqref>K5:K15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3E37-94C8-4DE4-8E9A-1170F2D98C8C}">
  <dimension ref="A1"/>
  <sheetViews>
    <sheetView tabSelected="1" topLeftCell="A24" zoomScale="70" zoomScaleNormal="70" workbookViewId="0">
      <selection activeCell="AC60" sqref="AC60"/>
    </sheetView>
  </sheetViews>
  <sheetFormatPr defaultRowHeight="14.4" x14ac:dyDescent="0.3"/>
  <cols>
    <col min="1" max="1" width="12.5546875" style="47" bestFit="1" customWidth="1"/>
    <col min="2" max="2" width="11.6640625" style="47" customWidth="1"/>
    <col min="3" max="3" width="8.88671875" style="47" customWidth="1"/>
    <col min="4" max="16384" width="8.88671875" style="47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1"/>
  <sheetViews>
    <sheetView zoomScale="85" zoomScaleNormal="85" workbookViewId="0">
      <selection activeCell="L20" sqref="L20"/>
    </sheetView>
  </sheetViews>
  <sheetFormatPr defaultRowHeight="14.4" x14ac:dyDescent="0.3"/>
  <cols>
    <col min="1" max="1" width="14.5546875" customWidth="1"/>
    <col min="2" max="2" width="19.44140625" customWidth="1"/>
    <col min="3" max="3" width="12" customWidth="1"/>
    <col min="4" max="4" width="15.88671875" customWidth="1"/>
    <col min="5" max="5" width="11.88671875" style="33" customWidth="1"/>
    <col min="6" max="6" width="16" customWidth="1"/>
    <col min="7" max="7" width="12.77734375" customWidth="1"/>
    <col min="8" max="8" width="14" style="41" bestFit="1" customWidth="1"/>
    <col min="9" max="9" width="8.5546875" style="33" bestFit="1" customWidth="1"/>
    <col min="10" max="10" width="15.88671875" style="17" customWidth="1"/>
    <col min="11" max="11" width="15.88671875" customWidth="1"/>
    <col min="12" max="12" width="16.88671875" customWidth="1"/>
    <col min="13" max="13" width="20.109375" style="45" bestFit="1" customWidth="1"/>
    <col min="14" max="14" width="14.21875" customWidth="1"/>
    <col min="15" max="15" width="16.33203125" bestFit="1" customWidth="1"/>
    <col min="16" max="16" width="22" customWidth="1"/>
    <col min="17" max="37" width="16.33203125" bestFit="1" customWidth="1"/>
    <col min="38" max="38" width="10.77734375" bestFit="1" customWidth="1"/>
  </cols>
  <sheetData>
    <row r="1" spans="1:17" ht="17.399999999999999" customHeight="1" thickBot="1" x14ac:dyDescent="0.35">
      <c r="A1" s="10" t="s">
        <v>0</v>
      </c>
      <c r="B1" s="9" t="s">
        <v>1</v>
      </c>
      <c r="C1" s="9" t="s">
        <v>2</v>
      </c>
      <c r="D1" s="9" t="s">
        <v>3</v>
      </c>
      <c r="E1" s="30" t="s">
        <v>4</v>
      </c>
      <c r="F1" s="9" t="s">
        <v>5</v>
      </c>
      <c r="G1" s="9" t="s">
        <v>6</v>
      </c>
      <c r="H1" s="40" t="s">
        <v>7</v>
      </c>
      <c r="I1" s="34" t="s">
        <v>8</v>
      </c>
      <c r="J1" s="14" t="s">
        <v>79</v>
      </c>
      <c r="K1" s="9" t="s">
        <v>147</v>
      </c>
      <c r="L1" s="9" t="s">
        <v>149</v>
      </c>
      <c r="M1" s="48" t="s">
        <v>158</v>
      </c>
    </row>
    <row r="2" spans="1:17" ht="15" thickBot="1" x14ac:dyDescent="0.35">
      <c r="A2" s="4" t="s">
        <v>9</v>
      </c>
      <c r="B2" s="1" t="s">
        <v>10</v>
      </c>
      <c r="C2" s="1" t="s">
        <v>11</v>
      </c>
      <c r="D2" s="1" t="s">
        <v>12</v>
      </c>
      <c r="E2" s="31">
        <v>1036.0899999999999</v>
      </c>
      <c r="F2" s="2">
        <v>4</v>
      </c>
      <c r="G2" s="2">
        <v>0.2</v>
      </c>
      <c r="H2" s="3">
        <v>45392</v>
      </c>
      <c r="I2" s="35">
        <v>331.55</v>
      </c>
      <c r="J2" s="15" t="str">
        <f t="shared" ref="J2:J33" si="0">_xlfn.IFS(G2=0,"No Discount", G2&lt;=0.1,"Low Discount",G2&lt;=0.15,"Medium Discount",G2&gt;0.15,"High Discount")</f>
        <v>High Discount</v>
      </c>
      <c r="K2" s="43">
        <f t="shared" ref="K2:K33" ca="1" si="1">NOW()</f>
        <v>46081.56108472222</v>
      </c>
      <c r="L2" s="42" t="str">
        <f>IF(Table1[Sales]&gt;1000,"High purchase","Normal purchase")</f>
        <v>High purchase</v>
      </c>
      <c r="M2" s="49">
        <f>Table1[[#This Row],[Profit]]/Table1[[#This Row],[Sales]]</f>
        <v>0.32000115820054248</v>
      </c>
    </row>
    <row r="3" spans="1:17" ht="15" thickBot="1" x14ac:dyDescent="0.35">
      <c r="A3" s="4" t="s">
        <v>13</v>
      </c>
      <c r="B3" s="1" t="s">
        <v>14</v>
      </c>
      <c r="C3" s="1" t="s">
        <v>11</v>
      </c>
      <c r="D3" s="1" t="s">
        <v>15</v>
      </c>
      <c r="E3" s="31">
        <v>1101.28</v>
      </c>
      <c r="F3" s="2">
        <v>3</v>
      </c>
      <c r="G3" s="2">
        <v>0.2</v>
      </c>
      <c r="H3" s="3">
        <v>45393</v>
      </c>
      <c r="I3" s="35">
        <v>440.51</v>
      </c>
      <c r="J3" s="13" t="str">
        <f t="shared" si="0"/>
        <v>High Discount</v>
      </c>
      <c r="K3" s="43">
        <f t="shared" ca="1" si="1"/>
        <v>46081.56108472222</v>
      </c>
      <c r="L3" s="42" t="str">
        <f>IF(Table1[Sales]&gt;1000,"High purchase","Normal purchase")</f>
        <v>High purchase</v>
      </c>
      <c r="M3" s="49">
        <f>Table1[[#This Row],[Profit]]/Table1[[#This Row],[Sales]]</f>
        <v>0.39999818393142528</v>
      </c>
      <c r="N3" s="44"/>
    </row>
    <row r="4" spans="1:17" ht="15" thickBot="1" x14ac:dyDescent="0.35">
      <c r="A4" s="4" t="s">
        <v>16</v>
      </c>
      <c r="B4" s="1" t="s">
        <v>17</v>
      </c>
      <c r="C4" s="1" t="s">
        <v>18</v>
      </c>
      <c r="D4" s="1" t="s">
        <v>12</v>
      </c>
      <c r="E4" s="31">
        <v>713.34</v>
      </c>
      <c r="F4" s="2">
        <v>17</v>
      </c>
      <c r="G4" s="2">
        <v>0</v>
      </c>
      <c r="H4" s="3">
        <v>45396</v>
      </c>
      <c r="I4" s="35">
        <v>285.33999999999997</v>
      </c>
      <c r="J4" s="13" t="str">
        <f t="shared" si="0"/>
        <v>No Discount</v>
      </c>
      <c r="K4" s="43">
        <f t="shared" ca="1" si="1"/>
        <v>46081.56108472222</v>
      </c>
      <c r="L4" s="42" t="str">
        <f>IF(Table1[Sales]&gt;1000,"High purchase","Normal purchase")</f>
        <v>Normal purchase</v>
      </c>
      <c r="M4" s="49">
        <f>Table1[[#This Row],[Profit]]/Table1[[#This Row],[Sales]]</f>
        <v>0.40000560742422964</v>
      </c>
    </row>
    <row r="5" spans="1:17" ht="15" thickBot="1" x14ac:dyDescent="0.35">
      <c r="A5" s="4" t="s">
        <v>19</v>
      </c>
      <c r="B5" s="1" t="s">
        <v>14</v>
      </c>
      <c r="C5" s="1" t="s">
        <v>20</v>
      </c>
      <c r="D5" s="1" t="s">
        <v>21</v>
      </c>
      <c r="E5" s="31">
        <v>760.93</v>
      </c>
      <c r="F5" s="2">
        <v>4</v>
      </c>
      <c r="G5" s="2">
        <v>0.15</v>
      </c>
      <c r="H5" s="3">
        <v>45396</v>
      </c>
      <c r="I5" s="35">
        <v>161.69999999999999</v>
      </c>
      <c r="J5" s="13" t="str">
        <f t="shared" si="0"/>
        <v>Medium Discount</v>
      </c>
      <c r="K5" s="43">
        <f t="shared" ca="1" si="1"/>
        <v>46081.56108472222</v>
      </c>
      <c r="L5" s="42" t="str">
        <f>IF(Table1[Sales]&gt;1000,"High purchase","Normal purchase")</f>
        <v>Normal purchase</v>
      </c>
      <c r="M5" s="49">
        <f>Table1[[#This Row],[Profit]]/Table1[[#This Row],[Sales]]</f>
        <v>0.2125031211806605</v>
      </c>
    </row>
    <row r="6" spans="1:17" ht="15" thickBot="1" x14ac:dyDescent="0.35">
      <c r="A6" s="4" t="s">
        <v>22</v>
      </c>
      <c r="B6" s="1" t="s">
        <v>23</v>
      </c>
      <c r="C6" s="1" t="s">
        <v>24</v>
      </c>
      <c r="D6" s="1" t="s">
        <v>12</v>
      </c>
      <c r="E6" s="31">
        <v>847</v>
      </c>
      <c r="F6" s="2">
        <v>12</v>
      </c>
      <c r="G6" s="2">
        <v>0.2</v>
      </c>
      <c r="H6" s="3">
        <v>45397</v>
      </c>
      <c r="I6" s="35">
        <v>271.04000000000002</v>
      </c>
      <c r="J6" s="13" t="str">
        <f t="shared" si="0"/>
        <v>High Discount</v>
      </c>
      <c r="K6" s="43">
        <f t="shared" ca="1" si="1"/>
        <v>46081.56108472222</v>
      </c>
      <c r="L6" s="42" t="str">
        <f>IF(Table1[Sales]&gt;1000,"High purchase","Normal purchase")</f>
        <v>Normal purchase</v>
      </c>
      <c r="M6" s="49">
        <f>Table1[[#This Row],[Profit]]/Table1[[#This Row],[Sales]]</f>
        <v>0.32</v>
      </c>
      <c r="O6" s="54" t="s">
        <v>150</v>
      </c>
      <c r="P6" s="54"/>
      <c r="Q6" s="46" t="str">
        <f>INDEX(Table1[Customer_Name],MATCH(MAX(Table1[Sales]),Table1[Sales],0))</f>
        <v>James Wilson</v>
      </c>
    </row>
    <row r="7" spans="1:17" ht="15" thickBot="1" x14ac:dyDescent="0.35">
      <c r="A7" s="4" t="s">
        <v>25</v>
      </c>
      <c r="B7" s="1" t="s">
        <v>26</v>
      </c>
      <c r="C7" s="1" t="s">
        <v>24</v>
      </c>
      <c r="D7" s="1" t="s">
        <v>27</v>
      </c>
      <c r="E7" s="31">
        <v>965.64</v>
      </c>
      <c r="F7" s="2">
        <v>8</v>
      </c>
      <c r="G7" s="2">
        <v>0.1</v>
      </c>
      <c r="H7" s="3">
        <v>45398</v>
      </c>
      <c r="I7" s="35">
        <v>304.18</v>
      </c>
      <c r="J7" s="13" t="str">
        <f t="shared" si="0"/>
        <v>Low Discount</v>
      </c>
      <c r="K7" s="43">
        <f t="shared" ca="1" si="1"/>
        <v>46081.56108472222</v>
      </c>
      <c r="L7" s="42" t="str">
        <f>IF(Table1[Sales]&gt;1000,"High purchase","Normal purchase")</f>
        <v>Normal purchase</v>
      </c>
      <c r="M7" s="49">
        <f>Table1[[#This Row],[Profit]]/Table1[[#This Row],[Sales]]</f>
        <v>0.31500352098090389</v>
      </c>
    </row>
    <row r="8" spans="1:17" ht="15" thickBot="1" x14ac:dyDescent="0.35">
      <c r="A8" s="4" t="s">
        <v>28</v>
      </c>
      <c r="B8" s="1" t="s">
        <v>29</v>
      </c>
      <c r="C8" s="1" t="s">
        <v>11</v>
      </c>
      <c r="D8" s="1" t="s">
        <v>21</v>
      </c>
      <c r="E8" s="31">
        <v>1317.53</v>
      </c>
      <c r="F8" s="2">
        <v>12</v>
      </c>
      <c r="G8" s="2">
        <v>0.05</v>
      </c>
      <c r="H8" s="3">
        <v>45398</v>
      </c>
      <c r="I8" s="35">
        <v>312.91000000000003</v>
      </c>
      <c r="J8" s="13" t="str">
        <f t="shared" si="0"/>
        <v>Low Discount</v>
      </c>
      <c r="K8" s="43">
        <f t="shared" ca="1" si="1"/>
        <v>46081.56108472222</v>
      </c>
      <c r="L8" s="42" t="str">
        <f>IF(Table1[Sales]&gt;1000,"High purchase","Normal purchase")</f>
        <v>High purchase</v>
      </c>
      <c r="M8" s="49">
        <f>Table1[[#This Row],[Profit]]/Table1[[#This Row],[Sales]]</f>
        <v>0.23749743838849971</v>
      </c>
    </row>
    <row r="9" spans="1:17" ht="15" thickBot="1" x14ac:dyDescent="0.35">
      <c r="A9" s="4" t="s">
        <v>30</v>
      </c>
      <c r="B9" s="1" t="s">
        <v>31</v>
      </c>
      <c r="C9" s="1" t="s">
        <v>18</v>
      </c>
      <c r="D9" s="1" t="s">
        <v>27</v>
      </c>
      <c r="E9" s="31">
        <v>1074.47</v>
      </c>
      <c r="F9" s="2">
        <v>6</v>
      </c>
      <c r="G9" s="2">
        <v>0.2</v>
      </c>
      <c r="H9" s="3">
        <v>45401</v>
      </c>
      <c r="I9" s="35">
        <v>300.85000000000002</v>
      </c>
      <c r="J9" s="13" t="str">
        <f t="shared" si="0"/>
        <v>High Discount</v>
      </c>
      <c r="K9" s="43">
        <f t="shared" ca="1" si="1"/>
        <v>46081.56108472222</v>
      </c>
      <c r="L9" s="42" t="str">
        <f>IF(Table1[Sales]&gt;1000,"High purchase","Normal purchase")</f>
        <v>High purchase</v>
      </c>
      <c r="M9" s="49">
        <f>Table1[[#This Row],[Profit]]/Table1[[#This Row],[Sales]]</f>
        <v>0.279998510893743</v>
      </c>
      <c r="O9" s="54" t="s">
        <v>160</v>
      </c>
      <c r="P9" s="55"/>
    </row>
    <row r="10" spans="1:17" ht="15" thickBot="1" x14ac:dyDescent="0.35">
      <c r="A10" s="4" t="s">
        <v>32</v>
      </c>
      <c r="B10" s="1" t="s">
        <v>33</v>
      </c>
      <c r="C10" s="1" t="s">
        <v>34</v>
      </c>
      <c r="D10" s="1" t="s">
        <v>12</v>
      </c>
      <c r="E10" s="31">
        <v>501.54</v>
      </c>
      <c r="F10" s="2">
        <v>11</v>
      </c>
      <c r="G10" s="2">
        <v>0.05</v>
      </c>
      <c r="H10" s="3">
        <v>45401</v>
      </c>
      <c r="I10" s="35">
        <v>190.59</v>
      </c>
      <c r="J10" s="13" t="str">
        <f t="shared" si="0"/>
        <v>Low Discount</v>
      </c>
      <c r="K10" s="43">
        <f t="shared" ca="1" si="1"/>
        <v>46081.56108472222</v>
      </c>
      <c r="L10" s="42" t="str">
        <f>IF(Table1[Sales]&gt;1000,"High purchase","Normal purchase")</f>
        <v>Normal purchase</v>
      </c>
      <c r="M10" s="49">
        <f>Table1[[#This Row],[Profit]]/Table1[[#This Row],[Sales]]</f>
        <v>0.38000957052278977</v>
      </c>
      <c r="O10">
        <f>CORREL(E:E,I:I)</f>
        <v>0.77340306414342652</v>
      </c>
    </row>
    <row r="11" spans="1:17" ht="15" thickBot="1" x14ac:dyDescent="0.35">
      <c r="A11" s="4" t="s">
        <v>35</v>
      </c>
      <c r="B11" s="1" t="s">
        <v>36</v>
      </c>
      <c r="C11" s="1" t="s">
        <v>34</v>
      </c>
      <c r="D11" s="1" t="s">
        <v>15</v>
      </c>
      <c r="E11" s="31">
        <v>737.31</v>
      </c>
      <c r="F11" s="2">
        <v>2</v>
      </c>
      <c r="G11" s="2">
        <v>0.05</v>
      </c>
      <c r="H11" s="3">
        <v>45401</v>
      </c>
      <c r="I11" s="35">
        <v>350.22</v>
      </c>
      <c r="J11" s="13" t="str">
        <f t="shared" si="0"/>
        <v>Low Discount</v>
      </c>
      <c r="K11" s="43">
        <f t="shared" ca="1" si="1"/>
        <v>46081.56108472222</v>
      </c>
      <c r="L11" s="42" t="str">
        <f>IF(Table1[Sales]&gt;1000,"High purchase","Normal purchase")</f>
        <v>Normal purchase</v>
      </c>
      <c r="M11" s="49">
        <f>Table1[[#This Row],[Profit]]/Table1[[#This Row],[Sales]]</f>
        <v>0.47499694836635886</v>
      </c>
    </row>
    <row r="12" spans="1:17" ht="15" thickBot="1" x14ac:dyDescent="0.35">
      <c r="A12" s="4" t="s">
        <v>37</v>
      </c>
      <c r="B12" s="1" t="s">
        <v>38</v>
      </c>
      <c r="C12" s="1" t="s">
        <v>11</v>
      </c>
      <c r="D12" s="1" t="s">
        <v>39</v>
      </c>
      <c r="E12" s="31">
        <v>1572.82</v>
      </c>
      <c r="F12" s="2">
        <v>6</v>
      </c>
      <c r="G12" s="2">
        <v>0.05</v>
      </c>
      <c r="H12" s="3">
        <v>45402</v>
      </c>
      <c r="I12" s="35">
        <v>672.38</v>
      </c>
      <c r="J12" s="13" t="str">
        <f t="shared" si="0"/>
        <v>Low Discount</v>
      </c>
      <c r="K12" s="43">
        <f t="shared" ca="1" si="1"/>
        <v>46081.56108472222</v>
      </c>
      <c r="L12" s="42" t="str">
        <f>IF(Table1[Sales]&gt;1000,"High purchase","Normal purchase")</f>
        <v>High purchase</v>
      </c>
      <c r="M12" s="49">
        <f>Table1[[#This Row],[Profit]]/Table1[[#This Row],[Sales]]</f>
        <v>0.42749965030963494</v>
      </c>
    </row>
    <row r="13" spans="1:17" ht="15" thickBot="1" x14ac:dyDescent="0.35">
      <c r="A13" s="4" t="s">
        <v>37</v>
      </c>
      <c r="B13" s="1" t="s">
        <v>36</v>
      </c>
      <c r="C13" s="1" t="s">
        <v>34</v>
      </c>
      <c r="D13" s="1" t="s">
        <v>12</v>
      </c>
      <c r="E13" s="31">
        <v>1343.13</v>
      </c>
      <c r="F13" s="2">
        <v>14</v>
      </c>
      <c r="G13" s="2">
        <v>0.15</v>
      </c>
      <c r="H13" s="3">
        <v>45404</v>
      </c>
      <c r="I13" s="35">
        <v>456.66</v>
      </c>
      <c r="J13" s="13" t="str">
        <f t="shared" si="0"/>
        <v>Medium Discount</v>
      </c>
      <c r="K13" s="43">
        <f t="shared" ca="1" si="1"/>
        <v>46081.56108472222</v>
      </c>
      <c r="L13" s="42" t="str">
        <f>IF(Table1[Sales]&gt;1000,"High purchase","Normal purchase")</f>
        <v>High purchase</v>
      </c>
      <c r="M13" s="49">
        <f>Table1[[#This Row],[Profit]]/Table1[[#This Row],[Sales]]</f>
        <v>0.33999687297581022</v>
      </c>
    </row>
    <row r="14" spans="1:17" ht="15" thickBot="1" x14ac:dyDescent="0.35">
      <c r="A14" s="4" t="s">
        <v>25</v>
      </c>
      <c r="B14" s="1" t="s">
        <v>26</v>
      </c>
      <c r="C14" s="1" t="s">
        <v>34</v>
      </c>
      <c r="D14" s="1" t="s">
        <v>12</v>
      </c>
      <c r="E14" s="31">
        <v>1191.58</v>
      </c>
      <c r="F14" s="2">
        <v>14</v>
      </c>
      <c r="G14" s="2">
        <v>0.05</v>
      </c>
      <c r="H14" s="3">
        <v>45406</v>
      </c>
      <c r="I14" s="35">
        <v>452.8</v>
      </c>
      <c r="J14" s="13" t="str">
        <f t="shared" si="0"/>
        <v>Low Discount</v>
      </c>
      <c r="K14" s="43">
        <f t="shared" ca="1" si="1"/>
        <v>46081.56108472222</v>
      </c>
      <c r="L14" s="42" t="str">
        <f>IF(Table1[Sales]&gt;1000,"High purchase","Normal purchase")</f>
        <v>High purchase</v>
      </c>
      <c r="M14" s="49">
        <f>Table1[[#This Row],[Profit]]/Table1[[#This Row],[Sales]]</f>
        <v>0.37999966431125065</v>
      </c>
    </row>
    <row r="15" spans="1:17" ht="15" thickBot="1" x14ac:dyDescent="0.35">
      <c r="A15" s="4" t="s">
        <v>40</v>
      </c>
      <c r="B15" s="1" t="s">
        <v>14</v>
      </c>
      <c r="C15" s="1" t="s">
        <v>11</v>
      </c>
      <c r="D15" s="1" t="s">
        <v>27</v>
      </c>
      <c r="E15" s="31">
        <v>822.28</v>
      </c>
      <c r="F15" s="2">
        <v>7</v>
      </c>
      <c r="G15" s="2">
        <v>0.05</v>
      </c>
      <c r="H15" s="3">
        <v>45406</v>
      </c>
      <c r="I15" s="35">
        <v>273.41000000000003</v>
      </c>
      <c r="J15" s="13" t="str">
        <f t="shared" si="0"/>
        <v>Low Discount</v>
      </c>
      <c r="K15" s="43">
        <f t="shared" ca="1" si="1"/>
        <v>46081.56108472222</v>
      </c>
      <c r="L15" s="42" t="str">
        <f>IF(Table1[Sales]&gt;1000,"High purchase","Normal purchase")</f>
        <v>Normal purchase</v>
      </c>
      <c r="M15" s="49">
        <f>Table1[[#This Row],[Profit]]/Table1[[#This Row],[Sales]]</f>
        <v>0.33250231064844094</v>
      </c>
    </row>
    <row r="16" spans="1:17" ht="15" thickBot="1" x14ac:dyDescent="0.35">
      <c r="A16" s="4" t="s">
        <v>41</v>
      </c>
      <c r="B16" s="1" t="s">
        <v>42</v>
      </c>
      <c r="C16" s="1" t="s">
        <v>24</v>
      </c>
      <c r="D16" s="1" t="s">
        <v>27</v>
      </c>
      <c r="E16" s="31">
        <v>521.66999999999996</v>
      </c>
      <c r="F16" s="2">
        <v>15</v>
      </c>
      <c r="G16" s="2">
        <v>0.15</v>
      </c>
      <c r="H16" s="3">
        <v>45409</v>
      </c>
      <c r="I16" s="35">
        <v>155.19999999999999</v>
      </c>
      <c r="J16" s="13" t="str">
        <f t="shared" si="0"/>
        <v>Medium Discount</v>
      </c>
      <c r="K16" s="43">
        <f t="shared" ca="1" si="1"/>
        <v>46081.56108472222</v>
      </c>
      <c r="L16" s="42" t="str">
        <f>IF(Table1[Sales]&gt;1000,"High purchase","Normal purchase")</f>
        <v>Normal purchase</v>
      </c>
      <c r="M16" s="49">
        <f>Table1[[#This Row],[Profit]]/Table1[[#This Row],[Sales]]</f>
        <v>0.29750608622309122</v>
      </c>
    </row>
    <row r="17" spans="1:13" ht="15" thickBot="1" x14ac:dyDescent="0.35">
      <c r="A17" s="4" t="s">
        <v>19</v>
      </c>
      <c r="B17" s="1" t="s">
        <v>43</v>
      </c>
      <c r="C17" s="1" t="s">
        <v>20</v>
      </c>
      <c r="D17" s="1" t="s">
        <v>21</v>
      </c>
      <c r="E17" s="31">
        <v>1502.93</v>
      </c>
      <c r="F17" s="2">
        <v>14</v>
      </c>
      <c r="G17" s="2">
        <v>0.2</v>
      </c>
      <c r="H17" s="3">
        <v>45410</v>
      </c>
      <c r="I17" s="35">
        <v>300.58999999999997</v>
      </c>
      <c r="J17" s="13" t="str">
        <f t="shared" si="0"/>
        <v>High Discount</v>
      </c>
      <c r="K17" s="43">
        <f t="shared" ca="1" si="1"/>
        <v>46081.56108472222</v>
      </c>
      <c r="L17" s="42" t="str">
        <f>IF(Table1[Sales]&gt;1000,"High purchase","Normal purchase")</f>
        <v>High purchase</v>
      </c>
      <c r="M17" s="49">
        <f>Table1[[#This Row],[Profit]]/Table1[[#This Row],[Sales]]</f>
        <v>0.20000266146793261</v>
      </c>
    </row>
    <row r="18" spans="1:13" ht="15" thickBot="1" x14ac:dyDescent="0.35">
      <c r="A18" s="4" t="s">
        <v>44</v>
      </c>
      <c r="B18" s="1" t="s">
        <v>14</v>
      </c>
      <c r="C18" s="1" t="s">
        <v>20</v>
      </c>
      <c r="D18" s="1" t="s">
        <v>12</v>
      </c>
      <c r="E18" s="31">
        <v>877.58</v>
      </c>
      <c r="F18" s="2">
        <v>10</v>
      </c>
      <c r="G18" s="2">
        <v>0.15</v>
      </c>
      <c r="H18" s="3">
        <v>45411</v>
      </c>
      <c r="I18" s="35">
        <v>298.38</v>
      </c>
      <c r="J18" s="13" t="str">
        <f t="shared" si="0"/>
        <v>Medium Discount</v>
      </c>
      <c r="K18" s="43">
        <f t="shared" ca="1" si="1"/>
        <v>46081.56108472222</v>
      </c>
      <c r="L18" s="42" t="str">
        <f>IF(Table1[Sales]&gt;1000,"High purchase","Normal purchase")</f>
        <v>Normal purchase</v>
      </c>
      <c r="M18" s="49">
        <f>Table1[[#This Row],[Profit]]/Table1[[#This Row],[Sales]]</f>
        <v>0.34000319059231066</v>
      </c>
    </row>
    <row r="19" spans="1:13" ht="15" thickBot="1" x14ac:dyDescent="0.35">
      <c r="A19" s="4" t="s">
        <v>28</v>
      </c>
      <c r="B19" s="1" t="s">
        <v>45</v>
      </c>
      <c r="C19" s="1" t="s">
        <v>11</v>
      </c>
      <c r="D19" s="1" t="s">
        <v>12</v>
      </c>
      <c r="E19" s="31">
        <v>636.70000000000005</v>
      </c>
      <c r="F19" s="2">
        <v>4</v>
      </c>
      <c r="G19" s="2">
        <v>0.2</v>
      </c>
      <c r="H19" s="3">
        <v>45411</v>
      </c>
      <c r="I19" s="35">
        <v>203.74</v>
      </c>
      <c r="J19" s="13" t="str">
        <f t="shared" si="0"/>
        <v>High Discount</v>
      </c>
      <c r="K19" s="43">
        <f t="shared" ca="1" si="1"/>
        <v>46081.56108472222</v>
      </c>
      <c r="L19" s="42" t="str">
        <f>IF(Table1[Sales]&gt;1000,"High purchase","Normal purchase")</f>
        <v>Normal purchase</v>
      </c>
      <c r="M19" s="49">
        <f>Table1[[#This Row],[Profit]]/Table1[[#This Row],[Sales]]</f>
        <v>0.31999371760640805</v>
      </c>
    </row>
    <row r="20" spans="1:13" ht="15" thickBot="1" x14ac:dyDescent="0.35">
      <c r="A20" s="4" t="s">
        <v>46</v>
      </c>
      <c r="B20" s="1" t="s">
        <v>47</v>
      </c>
      <c r="C20" s="1" t="s">
        <v>11</v>
      </c>
      <c r="D20" s="1" t="s">
        <v>12</v>
      </c>
      <c r="E20" s="31">
        <v>1506.14</v>
      </c>
      <c r="F20" s="2">
        <v>13</v>
      </c>
      <c r="G20" s="2">
        <v>0.2</v>
      </c>
      <c r="H20" s="3">
        <v>45412</v>
      </c>
      <c r="I20" s="35">
        <v>481.96</v>
      </c>
      <c r="J20" s="13" t="str">
        <f t="shared" si="0"/>
        <v>High Discount</v>
      </c>
      <c r="K20" s="43">
        <f t="shared" ca="1" si="1"/>
        <v>46081.56108472222</v>
      </c>
      <c r="L20" s="42" t="str">
        <f>IF(Table1[Sales]&gt;1000,"High purchase","Normal purchase")</f>
        <v>High purchase</v>
      </c>
      <c r="M20" s="49">
        <f>Table1[[#This Row],[Profit]]/Table1[[#This Row],[Sales]]</f>
        <v>0.319996813045268</v>
      </c>
    </row>
    <row r="21" spans="1:13" ht="15" thickBot="1" x14ac:dyDescent="0.35">
      <c r="A21" s="4" t="s">
        <v>30</v>
      </c>
      <c r="B21" s="1" t="s">
        <v>31</v>
      </c>
      <c r="C21" s="1" t="s">
        <v>34</v>
      </c>
      <c r="D21" s="1" t="s">
        <v>21</v>
      </c>
      <c r="E21" s="31">
        <v>645.02</v>
      </c>
      <c r="F21" s="2">
        <v>4</v>
      </c>
      <c r="G21" s="2">
        <v>0</v>
      </c>
      <c r="H21" s="3">
        <v>45414</v>
      </c>
      <c r="I21" s="35">
        <v>161.26</v>
      </c>
      <c r="J21" s="13" t="str">
        <f t="shared" si="0"/>
        <v>No Discount</v>
      </c>
      <c r="K21" s="43">
        <f t="shared" ca="1" si="1"/>
        <v>46081.56108472222</v>
      </c>
      <c r="L21" s="42" t="str">
        <f>IF(Table1[Sales]&gt;1000,"High purchase","Normal purchase")</f>
        <v>Normal purchase</v>
      </c>
      <c r="M21" s="49">
        <f>Table1[[#This Row],[Profit]]/Table1[[#This Row],[Sales]]</f>
        <v>0.25000775169762179</v>
      </c>
    </row>
    <row r="22" spans="1:13" ht="15" thickBot="1" x14ac:dyDescent="0.35">
      <c r="A22" s="4" t="s">
        <v>25</v>
      </c>
      <c r="B22" s="1" t="s">
        <v>48</v>
      </c>
      <c r="C22" s="1" t="s">
        <v>20</v>
      </c>
      <c r="D22" s="1" t="s">
        <v>15</v>
      </c>
      <c r="E22" s="31">
        <v>953.3</v>
      </c>
      <c r="F22" s="2">
        <v>11</v>
      </c>
      <c r="G22" s="2">
        <v>0</v>
      </c>
      <c r="H22" s="3">
        <v>45415</v>
      </c>
      <c r="I22" s="35">
        <v>476.65</v>
      </c>
      <c r="J22" s="13" t="str">
        <f t="shared" si="0"/>
        <v>No Discount</v>
      </c>
      <c r="K22" s="43">
        <f t="shared" ca="1" si="1"/>
        <v>46081.56108472222</v>
      </c>
      <c r="L22" s="42" t="str">
        <f>IF(Table1[Sales]&gt;1000,"High purchase","Normal purchase")</f>
        <v>Normal purchase</v>
      </c>
      <c r="M22" s="49">
        <f>Table1[[#This Row],[Profit]]/Table1[[#This Row],[Sales]]</f>
        <v>0.5</v>
      </c>
    </row>
    <row r="23" spans="1:13" ht="15" thickBot="1" x14ac:dyDescent="0.35">
      <c r="A23" s="4" t="s">
        <v>49</v>
      </c>
      <c r="B23" s="1" t="s">
        <v>14</v>
      </c>
      <c r="C23" s="1" t="s">
        <v>24</v>
      </c>
      <c r="D23" s="1" t="s">
        <v>21</v>
      </c>
      <c r="E23" s="31">
        <v>388.56</v>
      </c>
      <c r="F23" s="2">
        <v>14</v>
      </c>
      <c r="G23" s="2">
        <v>0.15</v>
      </c>
      <c r="H23" s="3">
        <v>45416</v>
      </c>
      <c r="I23" s="35">
        <v>82.57</v>
      </c>
      <c r="J23" s="13" t="str">
        <f t="shared" si="0"/>
        <v>Medium Discount</v>
      </c>
      <c r="K23" s="43">
        <f t="shared" ca="1" si="1"/>
        <v>46081.56108472222</v>
      </c>
      <c r="L23" s="42" t="str">
        <f>IF(Table1[Sales]&gt;1000,"High purchase","Normal purchase")</f>
        <v>Normal purchase</v>
      </c>
      <c r="M23" s="49">
        <f>Table1[[#This Row],[Profit]]/Table1[[#This Row],[Sales]]</f>
        <v>0.21250257360510602</v>
      </c>
    </row>
    <row r="24" spans="1:13" ht="15" thickBot="1" x14ac:dyDescent="0.35">
      <c r="A24" s="4" t="s">
        <v>9</v>
      </c>
      <c r="B24" s="1" t="s">
        <v>31</v>
      </c>
      <c r="C24" s="1" t="s">
        <v>11</v>
      </c>
      <c r="D24" s="1" t="s">
        <v>12</v>
      </c>
      <c r="E24" s="31">
        <v>743.17</v>
      </c>
      <c r="F24" s="2">
        <v>9</v>
      </c>
      <c r="G24" s="2">
        <v>0</v>
      </c>
      <c r="H24" s="3">
        <v>45416</v>
      </c>
      <c r="I24" s="35">
        <v>297.27</v>
      </c>
      <c r="J24" s="13" t="str">
        <f t="shared" si="0"/>
        <v>No Discount</v>
      </c>
      <c r="K24" s="43">
        <f t="shared" ca="1" si="1"/>
        <v>46081.56108472222</v>
      </c>
      <c r="L24" s="42" t="str">
        <f>IF(Table1[Sales]&gt;1000,"High purchase","Normal purchase")</f>
        <v>Normal purchase</v>
      </c>
      <c r="M24" s="49">
        <f>Table1[[#This Row],[Profit]]/Table1[[#This Row],[Sales]]</f>
        <v>0.40000269117429388</v>
      </c>
    </row>
    <row r="25" spans="1:13" ht="15" thickBot="1" x14ac:dyDescent="0.35">
      <c r="A25" s="4" t="s">
        <v>40</v>
      </c>
      <c r="B25" s="1" t="s">
        <v>31</v>
      </c>
      <c r="C25" s="1" t="s">
        <v>34</v>
      </c>
      <c r="D25" s="1" t="s">
        <v>21</v>
      </c>
      <c r="E25" s="31">
        <v>706.37</v>
      </c>
      <c r="F25" s="2">
        <v>6</v>
      </c>
      <c r="G25" s="2">
        <v>0</v>
      </c>
      <c r="H25" s="3">
        <v>45416</v>
      </c>
      <c r="I25" s="35">
        <v>176.59</v>
      </c>
      <c r="J25" s="13" t="str">
        <f t="shared" si="0"/>
        <v>No Discount</v>
      </c>
      <c r="K25" s="43">
        <f t="shared" ca="1" si="1"/>
        <v>46081.56108472222</v>
      </c>
      <c r="L25" s="42" t="str">
        <f>IF(Table1[Sales]&gt;1000,"High purchase","Normal purchase")</f>
        <v>Normal purchase</v>
      </c>
      <c r="M25" s="49">
        <f>Table1[[#This Row],[Profit]]/Table1[[#This Row],[Sales]]</f>
        <v>0.24999646077834564</v>
      </c>
    </row>
    <row r="26" spans="1:13" ht="15" thickBot="1" x14ac:dyDescent="0.35">
      <c r="A26" s="4" t="s">
        <v>13</v>
      </c>
      <c r="B26" s="1" t="s">
        <v>31</v>
      </c>
      <c r="C26" s="1" t="s">
        <v>34</v>
      </c>
      <c r="D26" s="1" t="s">
        <v>39</v>
      </c>
      <c r="E26" s="31">
        <v>925.31</v>
      </c>
      <c r="F26" s="2">
        <v>8</v>
      </c>
      <c r="G26" s="2">
        <v>0.1</v>
      </c>
      <c r="H26" s="3">
        <v>45418</v>
      </c>
      <c r="I26" s="35">
        <v>374.75</v>
      </c>
      <c r="J26" s="13" t="str">
        <f t="shared" si="0"/>
        <v>Low Discount</v>
      </c>
      <c r="K26" s="43">
        <f t="shared" ca="1" si="1"/>
        <v>46081.56108472222</v>
      </c>
      <c r="L26" s="42" t="str">
        <f>IF(Table1[Sales]&gt;1000,"High purchase","Normal purchase")</f>
        <v>Normal purchase</v>
      </c>
      <c r="M26" s="49">
        <f>Table1[[#This Row],[Profit]]/Table1[[#This Row],[Sales]]</f>
        <v>0.40499940560460823</v>
      </c>
    </row>
    <row r="27" spans="1:13" ht="15" thickBot="1" x14ac:dyDescent="0.35">
      <c r="A27" s="4" t="s">
        <v>35</v>
      </c>
      <c r="B27" s="1" t="s">
        <v>50</v>
      </c>
      <c r="C27" s="1" t="s">
        <v>20</v>
      </c>
      <c r="D27" s="1" t="s">
        <v>21</v>
      </c>
      <c r="E27" s="31">
        <v>1173.1199999999999</v>
      </c>
      <c r="F27" s="2">
        <v>18</v>
      </c>
      <c r="G27" s="2">
        <v>0</v>
      </c>
      <c r="H27" s="3">
        <v>45418</v>
      </c>
      <c r="I27" s="35">
        <v>293.27999999999997</v>
      </c>
      <c r="J27" s="13" t="str">
        <f t="shared" si="0"/>
        <v>No Discount</v>
      </c>
      <c r="K27" s="43">
        <f t="shared" ca="1" si="1"/>
        <v>46081.56108472222</v>
      </c>
      <c r="L27" s="42" t="str">
        <f>IF(Table1[Sales]&gt;1000,"High purchase","Normal purchase")</f>
        <v>High purchase</v>
      </c>
      <c r="M27" s="49">
        <f>Table1[[#This Row],[Profit]]/Table1[[#This Row],[Sales]]</f>
        <v>0.25</v>
      </c>
    </row>
    <row r="28" spans="1:13" ht="15" thickBot="1" x14ac:dyDescent="0.35">
      <c r="A28" s="4" t="s">
        <v>22</v>
      </c>
      <c r="B28" s="1" t="s">
        <v>51</v>
      </c>
      <c r="C28" s="1" t="s">
        <v>24</v>
      </c>
      <c r="D28" s="1" t="s">
        <v>27</v>
      </c>
      <c r="E28" s="31">
        <v>675.54</v>
      </c>
      <c r="F28" s="2">
        <v>17</v>
      </c>
      <c r="G28" s="2">
        <v>0</v>
      </c>
      <c r="H28" s="3">
        <v>45420</v>
      </c>
      <c r="I28" s="35">
        <v>236.44</v>
      </c>
      <c r="J28" s="13" t="str">
        <f t="shared" si="0"/>
        <v>No Discount</v>
      </c>
      <c r="K28" s="43">
        <f t="shared" ca="1" si="1"/>
        <v>46081.56108472222</v>
      </c>
      <c r="L28" s="42" t="str">
        <f>IF(Table1[Sales]&gt;1000,"High purchase","Normal purchase")</f>
        <v>Normal purchase</v>
      </c>
      <c r="M28" s="49">
        <f>Table1[[#This Row],[Profit]]/Table1[[#This Row],[Sales]]</f>
        <v>0.35000148029724371</v>
      </c>
    </row>
    <row r="29" spans="1:13" ht="15" thickBot="1" x14ac:dyDescent="0.35">
      <c r="A29" s="4" t="s">
        <v>25</v>
      </c>
      <c r="B29" s="1" t="s">
        <v>14</v>
      </c>
      <c r="C29" s="1" t="s">
        <v>34</v>
      </c>
      <c r="D29" s="1" t="s">
        <v>12</v>
      </c>
      <c r="E29" s="31">
        <v>939.09</v>
      </c>
      <c r="F29" s="2">
        <v>2</v>
      </c>
      <c r="G29" s="2">
        <v>0.05</v>
      </c>
      <c r="H29" s="3">
        <v>45422</v>
      </c>
      <c r="I29" s="35">
        <v>356.85</v>
      </c>
      <c r="J29" s="13" t="str">
        <f t="shared" si="0"/>
        <v>Low Discount</v>
      </c>
      <c r="K29" s="43">
        <f t="shared" ca="1" si="1"/>
        <v>46081.56108472222</v>
      </c>
      <c r="L29" s="42" t="str">
        <f>IF(Table1[Sales]&gt;1000,"High purchase","Normal purchase")</f>
        <v>Normal purchase</v>
      </c>
      <c r="M29" s="49">
        <f>Table1[[#This Row],[Profit]]/Table1[[#This Row],[Sales]]</f>
        <v>0.37999552758521549</v>
      </c>
    </row>
    <row r="30" spans="1:13" ht="15" thickBot="1" x14ac:dyDescent="0.35">
      <c r="A30" s="4" t="s">
        <v>52</v>
      </c>
      <c r="B30" s="1" t="s">
        <v>53</v>
      </c>
      <c r="C30" s="1" t="s">
        <v>18</v>
      </c>
      <c r="D30" s="1" t="s">
        <v>39</v>
      </c>
      <c r="E30" s="31">
        <v>983.34</v>
      </c>
      <c r="F30" s="2">
        <v>19</v>
      </c>
      <c r="G30" s="2">
        <v>0.1</v>
      </c>
      <c r="H30" s="3">
        <v>45426</v>
      </c>
      <c r="I30" s="35">
        <v>398.25</v>
      </c>
      <c r="J30" s="13" t="str">
        <f t="shared" si="0"/>
        <v>Low Discount</v>
      </c>
      <c r="K30" s="43">
        <f t="shared" ca="1" si="1"/>
        <v>46081.56108472222</v>
      </c>
      <c r="L30" s="42" t="str">
        <f>IF(Table1[Sales]&gt;1000,"High purchase","Normal purchase")</f>
        <v>Normal purchase</v>
      </c>
      <c r="M30" s="49">
        <f>Table1[[#This Row],[Profit]]/Table1[[#This Row],[Sales]]</f>
        <v>0.40499725425590333</v>
      </c>
    </row>
    <row r="31" spans="1:13" ht="15" thickBot="1" x14ac:dyDescent="0.35">
      <c r="A31" s="4" t="s">
        <v>52</v>
      </c>
      <c r="B31" s="1" t="s">
        <v>23</v>
      </c>
      <c r="C31" s="1" t="s">
        <v>20</v>
      </c>
      <c r="D31" s="1" t="s">
        <v>21</v>
      </c>
      <c r="E31" s="31">
        <v>801.21</v>
      </c>
      <c r="F31" s="2">
        <v>3</v>
      </c>
      <c r="G31" s="2">
        <v>0.2</v>
      </c>
      <c r="H31" s="3">
        <v>45426</v>
      </c>
      <c r="I31" s="35">
        <v>160.24</v>
      </c>
      <c r="J31" s="13" t="str">
        <f t="shared" si="0"/>
        <v>High Discount</v>
      </c>
      <c r="K31" s="43">
        <f t="shared" ca="1" si="1"/>
        <v>46081.56108472222</v>
      </c>
      <c r="L31" s="42" t="str">
        <f>IF(Table1[Sales]&gt;1000,"High purchase","Normal purchase")</f>
        <v>Normal purchase</v>
      </c>
      <c r="M31" s="49">
        <f>Table1[[#This Row],[Profit]]/Table1[[#This Row],[Sales]]</f>
        <v>0.19999750377553949</v>
      </c>
    </row>
    <row r="32" spans="1:13" ht="15" thickBot="1" x14ac:dyDescent="0.35">
      <c r="A32" s="4" t="s">
        <v>54</v>
      </c>
      <c r="B32" s="1" t="s">
        <v>55</v>
      </c>
      <c r="C32" s="1" t="s">
        <v>24</v>
      </c>
      <c r="D32" s="1" t="s">
        <v>21</v>
      </c>
      <c r="E32" s="31">
        <v>1450.71</v>
      </c>
      <c r="F32" s="2">
        <v>5</v>
      </c>
      <c r="G32" s="2">
        <v>0.1</v>
      </c>
      <c r="H32" s="3">
        <v>45427</v>
      </c>
      <c r="I32" s="35">
        <v>326.41000000000003</v>
      </c>
      <c r="J32" s="13" t="str">
        <f t="shared" si="0"/>
        <v>Low Discount</v>
      </c>
      <c r="K32" s="43">
        <f t="shared" ca="1" si="1"/>
        <v>46081.56108472222</v>
      </c>
      <c r="L32" s="42" t="str">
        <f>IF(Table1[Sales]&gt;1000,"High purchase","Normal purchase")</f>
        <v>High purchase</v>
      </c>
      <c r="M32" s="49">
        <f>Table1[[#This Row],[Profit]]/Table1[[#This Row],[Sales]]</f>
        <v>0.22500017232941114</v>
      </c>
    </row>
    <row r="33" spans="1:13" ht="15" thickBot="1" x14ac:dyDescent="0.35">
      <c r="A33" s="4" t="s">
        <v>49</v>
      </c>
      <c r="B33" s="1" t="s">
        <v>56</v>
      </c>
      <c r="C33" s="1" t="s">
        <v>34</v>
      </c>
      <c r="D33" s="1" t="s">
        <v>12</v>
      </c>
      <c r="E33" s="31">
        <v>1023.21</v>
      </c>
      <c r="F33" s="2">
        <v>18</v>
      </c>
      <c r="G33" s="2">
        <v>0.05</v>
      </c>
      <c r="H33" s="3">
        <v>45428</v>
      </c>
      <c r="I33" s="35">
        <v>388.82</v>
      </c>
      <c r="J33" s="13" t="str">
        <f t="shared" si="0"/>
        <v>Low Discount</v>
      </c>
      <c r="K33" s="43">
        <f t="shared" ca="1" si="1"/>
        <v>46081.56108472222</v>
      </c>
      <c r="L33" s="42" t="str">
        <f>IF(Table1[Sales]&gt;1000,"High purchase","Normal purchase")</f>
        <v>High purchase</v>
      </c>
      <c r="M33" s="49">
        <f>Table1[[#This Row],[Profit]]/Table1[[#This Row],[Sales]]</f>
        <v>0.38000019546329689</v>
      </c>
    </row>
    <row r="34" spans="1:13" ht="15" thickBot="1" x14ac:dyDescent="0.35">
      <c r="A34" s="4" t="s">
        <v>28</v>
      </c>
      <c r="B34" s="1" t="s">
        <v>47</v>
      </c>
      <c r="C34" s="1" t="s">
        <v>11</v>
      </c>
      <c r="D34" s="1" t="s">
        <v>27</v>
      </c>
      <c r="E34" s="31">
        <v>853.72</v>
      </c>
      <c r="F34" s="2">
        <v>5</v>
      </c>
      <c r="G34" s="2">
        <v>0.15</v>
      </c>
      <c r="H34" s="3">
        <v>45428</v>
      </c>
      <c r="I34" s="35">
        <v>253.98</v>
      </c>
      <c r="J34" s="13" t="str">
        <f t="shared" ref="J34:J65" si="2">_xlfn.IFS(G34=0,"No Discount", G34&lt;=0.1,"Low Discount",G34&lt;=0.15,"Medium Discount",G34&gt;0.15,"High Discount")</f>
        <v>Medium Discount</v>
      </c>
      <c r="K34" s="43">
        <f t="shared" ref="K34:K65" ca="1" si="3">NOW()</f>
        <v>46081.56108472222</v>
      </c>
      <c r="L34" s="42" t="str">
        <f>IF(Table1[Sales]&gt;1000,"High purchase","Normal purchase")</f>
        <v>Normal purchase</v>
      </c>
      <c r="M34" s="49">
        <f>Table1[[#This Row],[Profit]]/Table1[[#This Row],[Sales]]</f>
        <v>0.29749800871480109</v>
      </c>
    </row>
    <row r="35" spans="1:13" ht="15" thickBot="1" x14ac:dyDescent="0.35">
      <c r="A35" s="4" t="s">
        <v>57</v>
      </c>
      <c r="B35" s="1" t="s">
        <v>43</v>
      </c>
      <c r="C35" s="1" t="s">
        <v>20</v>
      </c>
      <c r="D35" s="1" t="s">
        <v>21</v>
      </c>
      <c r="E35" s="31">
        <v>967.89</v>
      </c>
      <c r="F35" s="2">
        <v>10</v>
      </c>
      <c r="G35" s="2">
        <v>0.1</v>
      </c>
      <c r="H35" s="3">
        <v>45429</v>
      </c>
      <c r="I35" s="35">
        <v>217.78</v>
      </c>
      <c r="J35" s="13" t="str">
        <f t="shared" si="2"/>
        <v>Low Discount</v>
      </c>
      <c r="K35" s="43">
        <f t="shared" ca="1" si="3"/>
        <v>46081.56108472222</v>
      </c>
      <c r="L35" s="42" t="str">
        <f>IF(Table1[Sales]&gt;1000,"High purchase","Normal purchase")</f>
        <v>Normal purchase</v>
      </c>
      <c r="M35" s="49">
        <f>Table1[[#This Row],[Profit]]/Table1[[#This Row],[Sales]]</f>
        <v>0.22500490758247321</v>
      </c>
    </row>
    <row r="36" spans="1:13" ht="15" thickBot="1" x14ac:dyDescent="0.35">
      <c r="A36" s="4" t="s">
        <v>58</v>
      </c>
      <c r="B36" s="1" t="s">
        <v>53</v>
      </c>
      <c r="C36" s="1" t="s">
        <v>24</v>
      </c>
      <c r="D36" s="1" t="s">
        <v>39</v>
      </c>
      <c r="E36" s="31">
        <v>1200.9000000000001</v>
      </c>
      <c r="F36" s="2">
        <v>14</v>
      </c>
      <c r="G36" s="2">
        <v>0.05</v>
      </c>
      <c r="H36" s="3">
        <v>45429</v>
      </c>
      <c r="I36" s="35">
        <v>513.38</v>
      </c>
      <c r="J36" s="13" t="str">
        <f t="shared" si="2"/>
        <v>Low Discount</v>
      </c>
      <c r="K36" s="43">
        <f t="shared" ca="1" si="3"/>
        <v>46081.56108472222</v>
      </c>
      <c r="L36" s="42" t="str">
        <f>IF(Table1[Sales]&gt;1000,"High purchase","Normal purchase")</f>
        <v>High purchase</v>
      </c>
      <c r="M36" s="49">
        <f>Table1[[#This Row],[Profit]]/Table1[[#This Row],[Sales]]</f>
        <v>0.42749604463319174</v>
      </c>
    </row>
    <row r="37" spans="1:13" ht="15" thickBot="1" x14ac:dyDescent="0.35">
      <c r="A37" s="4" t="s">
        <v>13</v>
      </c>
      <c r="B37" s="1" t="s">
        <v>26</v>
      </c>
      <c r="C37" s="1" t="s">
        <v>11</v>
      </c>
      <c r="D37" s="1" t="s">
        <v>12</v>
      </c>
      <c r="E37" s="31">
        <v>472.38</v>
      </c>
      <c r="F37" s="2">
        <v>12</v>
      </c>
      <c r="G37" s="2">
        <v>0.2</v>
      </c>
      <c r="H37" s="3">
        <v>45429</v>
      </c>
      <c r="I37" s="35">
        <v>151.16</v>
      </c>
      <c r="J37" s="13" t="str">
        <f t="shared" si="2"/>
        <v>High Discount</v>
      </c>
      <c r="K37" s="43">
        <f t="shared" ca="1" si="3"/>
        <v>46081.56108472222</v>
      </c>
      <c r="L37" s="42" t="str">
        <f>IF(Table1[Sales]&gt;1000,"High purchase","Normal purchase")</f>
        <v>Normal purchase</v>
      </c>
      <c r="M37" s="49">
        <f>Table1[[#This Row],[Profit]]/Table1[[#This Row],[Sales]]</f>
        <v>0.31999661289639697</v>
      </c>
    </row>
    <row r="38" spans="1:13" ht="15" thickBot="1" x14ac:dyDescent="0.35">
      <c r="A38" s="4" t="s">
        <v>9</v>
      </c>
      <c r="B38" s="1" t="s">
        <v>55</v>
      </c>
      <c r="C38" s="1" t="s">
        <v>18</v>
      </c>
      <c r="D38" s="1" t="s">
        <v>39</v>
      </c>
      <c r="E38" s="31">
        <v>840.92</v>
      </c>
      <c r="F38" s="2">
        <v>9</v>
      </c>
      <c r="G38" s="2">
        <v>0.05</v>
      </c>
      <c r="H38" s="3">
        <v>45429</v>
      </c>
      <c r="I38" s="35">
        <v>359.49</v>
      </c>
      <c r="J38" s="13" t="str">
        <f t="shared" si="2"/>
        <v>Low Discount</v>
      </c>
      <c r="K38" s="43">
        <f t="shared" ca="1" si="3"/>
        <v>46081.56108472222</v>
      </c>
      <c r="L38" s="42" t="str">
        <f>IF(Table1[Sales]&gt;1000,"High purchase","Normal purchase")</f>
        <v>Normal purchase</v>
      </c>
      <c r="M38" s="49">
        <f>Table1[[#This Row],[Profit]]/Table1[[#This Row],[Sales]]</f>
        <v>0.42749607572658521</v>
      </c>
    </row>
    <row r="39" spans="1:13" ht="15" thickBot="1" x14ac:dyDescent="0.35">
      <c r="A39" s="4" t="s">
        <v>52</v>
      </c>
      <c r="B39" s="1" t="s">
        <v>48</v>
      </c>
      <c r="C39" s="1" t="s">
        <v>34</v>
      </c>
      <c r="D39" s="1" t="s">
        <v>27</v>
      </c>
      <c r="E39" s="31">
        <v>1410.06</v>
      </c>
      <c r="F39" s="2">
        <v>11</v>
      </c>
      <c r="G39" s="2">
        <v>0.05</v>
      </c>
      <c r="H39" s="3">
        <v>45434</v>
      </c>
      <c r="I39" s="35">
        <v>468.84</v>
      </c>
      <c r="J39" s="13" t="str">
        <f t="shared" si="2"/>
        <v>Low Discount</v>
      </c>
      <c r="K39" s="43">
        <f t="shared" ca="1" si="3"/>
        <v>46081.56108472222</v>
      </c>
      <c r="L39" s="42" t="str">
        <f>IF(Table1[Sales]&gt;1000,"High purchase","Normal purchase")</f>
        <v>High purchase</v>
      </c>
      <c r="M39" s="49">
        <f>Table1[[#This Row],[Profit]]/Table1[[#This Row],[Sales]]</f>
        <v>0.33249648951108463</v>
      </c>
    </row>
    <row r="40" spans="1:13" ht="15" thickBot="1" x14ac:dyDescent="0.35">
      <c r="A40" s="4" t="s">
        <v>44</v>
      </c>
      <c r="B40" s="1" t="s">
        <v>59</v>
      </c>
      <c r="C40" s="1" t="s">
        <v>34</v>
      </c>
      <c r="D40" s="1" t="s">
        <v>27</v>
      </c>
      <c r="E40" s="31">
        <v>773.09</v>
      </c>
      <c r="F40" s="2">
        <v>13</v>
      </c>
      <c r="G40" s="2">
        <v>0.15</v>
      </c>
      <c r="H40" s="3">
        <v>45434</v>
      </c>
      <c r="I40" s="35">
        <v>229.99</v>
      </c>
      <c r="J40" s="13" t="str">
        <f t="shared" si="2"/>
        <v>Medium Discount</v>
      </c>
      <c r="K40" s="43">
        <f t="shared" ca="1" si="3"/>
        <v>46081.56108472222</v>
      </c>
      <c r="L40" s="42" t="str">
        <f>IF(Table1[Sales]&gt;1000,"High purchase","Normal purchase")</f>
        <v>Normal purchase</v>
      </c>
      <c r="M40" s="49">
        <f>Table1[[#This Row],[Profit]]/Table1[[#This Row],[Sales]]</f>
        <v>0.29749447024279191</v>
      </c>
    </row>
    <row r="41" spans="1:13" ht="15" thickBot="1" x14ac:dyDescent="0.35">
      <c r="A41" s="4" t="s">
        <v>60</v>
      </c>
      <c r="B41" s="1" t="s">
        <v>61</v>
      </c>
      <c r="C41" s="1" t="s">
        <v>18</v>
      </c>
      <c r="D41" s="1" t="s">
        <v>12</v>
      </c>
      <c r="E41" s="31">
        <v>580.42999999999995</v>
      </c>
      <c r="F41" s="2">
        <v>19</v>
      </c>
      <c r="G41" s="2">
        <v>0.15</v>
      </c>
      <c r="H41" s="3">
        <v>45435</v>
      </c>
      <c r="I41" s="35">
        <v>197.35</v>
      </c>
      <c r="J41" s="13" t="str">
        <f t="shared" si="2"/>
        <v>Medium Discount</v>
      </c>
      <c r="K41" s="43">
        <f t="shared" ca="1" si="3"/>
        <v>46081.56108472222</v>
      </c>
      <c r="L41" s="42" t="str">
        <f>IF(Table1[Sales]&gt;1000,"High purchase","Normal purchase")</f>
        <v>Normal purchase</v>
      </c>
      <c r="M41" s="49">
        <f>Table1[[#This Row],[Profit]]/Table1[[#This Row],[Sales]]</f>
        <v>0.3400065468704237</v>
      </c>
    </row>
    <row r="42" spans="1:13" ht="15" thickBot="1" x14ac:dyDescent="0.35">
      <c r="A42" s="4" t="s">
        <v>19</v>
      </c>
      <c r="B42" s="1" t="s">
        <v>42</v>
      </c>
      <c r="C42" s="1" t="s">
        <v>20</v>
      </c>
      <c r="D42" s="1" t="s">
        <v>12</v>
      </c>
      <c r="E42" s="31">
        <v>1151.21</v>
      </c>
      <c r="F42" s="2">
        <v>15</v>
      </c>
      <c r="G42" s="2">
        <v>0.1</v>
      </c>
      <c r="H42" s="3">
        <v>45445</v>
      </c>
      <c r="I42" s="35">
        <v>414.44</v>
      </c>
      <c r="J42" s="13" t="str">
        <f t="shared" si="2"/>
        <v>Low Discount</v>
      </c>
      <c r="K42" s="43">
        <f t="shared" ca="1" si="3"/>
        <v>46081.56108472222</v>
      </c>
      <c r="L42" s="42" t="str">
        <f>IF(Table1[Sales]&gt;1000,"High purchase","Normal purchase")</f>
        <v>High purchase</v>
      </c>
      <c r="M42" s="49">
        <f>Table1[[#This Row],[Profit]]/Table1[[#This Row],[Sales]]</f>
        <v>0.36000382206547893</v>
      </c>
    </row>
    <row r="43" spans="1:13" ht="15" thickBot="1" x14ac:dyDescent="0.35">
      <c r="A43" s="4" t="s">
        <v>52</v>
      </c>
      <c r="B43" s="1" t="s">
        <v>23</v>
      </c>
      <c r="C43" s="1" t="s">
        <v>34</v>
      </c>
      <c r="D43" s="1" t="s">
        <v>39</v>
      </c>
      <c r="E43" s="31">
        <v>1025.98</v>
      </c>
      <c r="F43" s="2">
        <v>5</v>
      </c>
      <c r="G43" s="2">
        <v>0.2</v>
      </c>
      <c r="H43" s="3">
        <v>45447</v>
      </c>
      <c r="I43" s="35">
        <v>369.35</v>
      </c>
      <c r="J43" s="13" t="str">
        <f t="shared" si="2"/>
        <v>High Discount</v>
      </c>
      <c r="K43" s="43">
        <f t="shared" ca="1" si="3"/>
        <v>46081.56108472222</v>
      </c>
      <c r="L43" s="42" t="str">
        <f>IF(Table1[Sales]&gt;1000,"High purchase","Normal purchase")</f>
        <v>High purchase</v>
      </c>
      <c r="M43" s="49">
        <f>Table1[[#This Row],[Profit]]/Table1[[#This Row],[Sales]]</f>
        <v>0.35999727090196693</v>
      </c>
    </row>
    <row r="44" spans="1:13" ht="15" thickBot="1" x14ac:dyDescent="0.35">
      <c r="A44" s="4" t="s">
        <v>40</v>
      </c>
      <c r="B44" s="1" t="s">
        <v>56</v>
      </c>
      <c r="C44" s="1" t="s">
        <v>18</v>
      </c>
      <c r="D44" s="1" t="s">
        <v>39</v>
      </c>
      <c r="E44" s="31">
        <v>556.41999999999996</v>
      </c>
      <c r="F44" s="2">
        <v>11</v>
      </c>
      <c r="G44" s="2">
        <v>0.15</v>
      </c>
      <c r="H44" s="3">
        <v>45447</v>
      </c>
      <c r="I44" s="35">
        <v>212.83</v>
      </c>
      <c r="J44" s="13" t="str">
        <f t="shared" si="2"/>
        <v>Medium Discount</v>
      </c>
      <c r="K44" s="43">
        <f t="shared" ca="1" si="3"/>
        <v>46081.56108472222</v>
      </c>
      <c r="L44" s="42" t="str">
        <f>IF(Table1[Sales]&gt;1000,"High purchase","Normal purchase")</f>
        <v>Normal purchase</v>
      </c>
      <c r="M44" s="49">
        <f>Table1[[#This Row],[Profit]]/Table1[[#This Row],[Sales]]</f>
        <v>0.38249883181769173</v>
      </c>
    </row>
    <row r="45" spans="1:13" ht="15" thickBot="1" x14ac:dyDescent="0.35">
      <c r="A45" s="4" t="s">
        <v>57</v>
      </c>
      <c r="B45" s="1" t="s">
        <v>23</v>
      </c>
      <c r="C45" s="1" t="s">
        <v>34</v>
      </c>
      <c r="D45" s="1" t="s">
        <v>12</v>
      </c>
      <c r="E45" s="31">
        <v>840.85</v>
      </c>
      <c r="F45" s="2">
        <v>19</v>
      </c>
      <c r="G45" s="2">
        <v>0.1</v>
      </c>
      <c r="H45" s="3">
        <v>45448</v>
      </c>
      <c r="I45" s="35">
        <v>302.70999999999998</v>
      </c>
      <c r="J45" s="13" t="str">
        <f t="shared" si="2"/>
        <v>Low Discount</v>
      </c>
      <c r="K45" s="43">
        <f t="shared" ca="1" si="3"/>
        <v>46081.56108472222</v>
      </c>
      <c r="L45" s="42" t="str">
        <f>IF(Table1[Sales]&gt;1000,"High purchase","Normal purchase")</f>
        <v>Normal purchase</v>
      </c>
      <c r="M45" s="49">
        <f>Table1[[#This Row],[Profit]]/Table1[[#This Row],[Sales]]</f>
        <v>0.3600047570910388</v>
      </c>
    </row>
    <row r="46" spans="1:13" ht="15" thickBot="1" x14ac:dyDescent="0.35">
      <c r="A46" s="4" t="s">
        <v>30</v>
      </c>
      <c r="B46" s="1" t="s">
        <v>61</v>
      </c>
      <c r="C46" s="1" t="s">
        <v>24</v>
      </c>
      <c r="D46" s="1" t="s">
        <v>27</v>
      </c>
      <c r="E46" s="31">
        <v>1227.25</v>
      </c>
      <c r="F46" s="2">
        <v>12</v>
      </c>
      <c r="G46" s="2">
        <v>0.15</v>
      </c>
      <c r="H46" s="3">
        <v>45448</v>
      </c>
      <c r="I46" s="35">
        <v>365.11</v>
      </c>
      <c r="J46" s="13" t="str">
        <f t="shared" si="2"/>
        <v>Medium Discount</v>
      </c>
      <c r="K46" s="43">
        <f t="shared" ca="1" si="3"/>
        <v>46081.56108472222</v>
      </c>
      <c r="L46" s="42" t="str">
        <f>IF(Table1[Sales]&gt;1000,"High purchase","Normal purchase")</f>
        <v>High purchase</v>
      </c>
      <c r="M46" s="49">
        <f>Table1[[#This Row],[Profit]]/Table1[[#This Row],[Sales]]</f>
        <v>0.2975025463434508</v>
      </c>
    </row>
    <row r="47" spans="1:13" ht="15" thickBot="1" x14ac:dyDescent="0.35">
      <c r="A47" s="4" t="s">
        <v>16</v>
      </c>
      <c r="B47" s="1" t="s">
        <v>62</v>
      </c>
      <c r="C47" s="1" t="s">
        <v>34</v>
      </c>
      <c r="D47" s="1" t="s">
        <v>21</v>
      </c>
      <c r="E47" s="31">
        <v>856.7</v>
      </c>
      <c r="F47" s="2">
        <v>2</v>
      </c>
      <c r="G47" s="2">
        <v>0</v>
      </c>
      <c r="H47" s="3">
        <v>45449</v>
      </c>
      <c r="I47" s="35">
        <v>214.18</v>
      </c>
      <c r="J47" s="13" t="str">
        <f t="shared" si="2"/>
        <v>No Discount</v>
      </c>
      <c r="K47" s="43">
        <f t="shared" ca="1" si="3"/>
        <v>46081.56108472222</v>
      </c>
      <c r="L47" s="42" t="str">
        <f>IF(Table1[Sales]&gt;1000,"High purchase","Normal purchase")</f>
        <v>Normal purchase</v>
      </c>
      <c r="M47" s="49">
        <f>Table1[[#This Row],[Profit]]/Table1[[#This Row],[Sales]]</f>
        <v>0.25000583634878021</v>
      </c>
    </row>
    <row r="48" spans="1:13" ht="15" thickBot="1" x14ac:dyDescent="0.35">
      <c r="A48" s="4" t="s">
        <v>54</v>
      </c>
      <c r="B48" s="1" t="s">
        <v>56</v>
      </c>
      <c r="C48" s="1" t="s">
        <v>34</v>
      </c>
      <c r="D48" s="1" t="s">
        <v>39</v>
      </c>
      <c r="E48" s="31">
        <v>1225.42</v>
      </c>
      <c r="F48" s="2">
        <v>8</v>
      </c>
      <c r="G48" s="2">
        <v>0.15</v>
      </c>
      <c r="H48" s="3">
        <v>45449</v>
      </c>
      <c r="I48" s="35">
        <v>468.72</v>
      </c>
      <c r="J48" s="13" t="str">
        <f t="shared" si="2"/>
        <v>Medium Discount</v>
      </c>
      <c r="K48" s="43">
        <f t="shared" ca="1" si="3"/>
        <v>46081.56108472222</v>
      </c>
      <c r="L48" s="42" t="str">
        <f>IF(Table1[Sales]&gt;1000,"High purchase","Normal purchase")</f>
        <v>High purchase</v>
      </c>
      <c r="M48" s="49">
        <f>Table1[[#This Row],[Profit]]/Table1[[#This Row],[Sales]]</f>
        <v>0.38249742945275905</v>
      </c>
    </row>
    <row r="49" spans="1:13" ht="15" thickBot="1" x14ac:dyDescent="0.35">
      <c r="A49" s="4" t="s">
        <v>63</v>
      </c>
      <c r="B49" s="1" t="s">
        <v>31</v>
      </c>
      <c r="C49" s="1" t="s">
        <v>24</v>
      </c>
      <c r="D49" s="1" t="s">
        <v>39</v>
      </c>
      <c r="E49" s="31">
        <v>1001.57</v>
      </c>
      <c r="F49" s="2">
        <v>12</v>
      </c>
      <c r="G49" s="2">
        <v>0</v>
      </c>
      <c r="H49" s="3">
        <v>45450</v>
      </c>
      <c r="I49" s="35">
        <v>450.71</v>
      </c>
      <c r="J49" s="13" t="str">
        <f t="shared" si="2"/>
        <v>No Discount</v>
      </c>
      <c r="K49" s="43">
        <f t="shared" ca="1" si="3"/>
        <v>46081.56108472222</v>
      </c>
      <c r="L49" s="42" t="str">
        <f>IF(Table1[Sales]&gt;1000,"High purchase","Normal purchase")</f>
        <v>High purchase</v>
      </c>
      <c r="M49" s="49">
        <f>Table1[[#This Row],[Profit]]/Table1[[#This Row],[Sales]]</f>
        <v>0.4500034945136136</v>
      </c>
    </row>
    <row r="50" spans="1:13" ht="15" thickBot="1" x14ac:dyDescent="0.35">
      <c r="A50" s="4" t="s">
        <v>57</v>
      </c>
      <c r="B50" s="1" t="s">
        <v>26</v>
      </c>
      <c r="C50" s="1" t="s">
        <v>18</v>
      </c>
      <c r="D50" s="1" t="s">
        <v>27</v>
      </c>
      <c r="E50" s="31">
        <v>1186.8499999999999</v>
      </c>
      <c r="F50" s="2">
        <v>19</v>
      </c>
      <c r="G50" s="2">
        <v>0.2</v>
      </c>
      <c r="H50" s="3">
        <v>45451</v>
      </c>
      <c r="I50" s="35">
        <v>332.32</v>
      </c>
      <c r="J50" s="13" t="str">
        <f t="shared" si="2"/>
        <v>High Discount</v>
      </c>
      <c r="K50" s="43">
        <f t="shared" ca="1" si="3"/>
        <v>46081.56108472222</v>
      </c>
      <c r="L50" s="42" t="str">
        <f>IF(Table1[Sales]&gt;1000,"High purchase","Normal purchase")</f>
        <v>High purchase</v>
      </c>
      <c r="M50" s="49">
        <f>Table1[[#This Row],[Profit]]/Table1[[#This Row],[Sales]]</f>
        <v>0.2800016851329149</v>
      </c>
    </row>
    <row r="51" spans="1:13" ht="15" thickBot="1" x14ac:dyDescent="0.35">
      <c r="A51" s="4" t="s">
        <v>44</v>
      </c>
      <c r="B51" s="1" t="s">
        <v>51</v>
      </c>
      <c r="C51" s="1" t="s">
        <v>20</v>
      </c>
      <c r="D51" s="1" t="s">
        <v>21</v>
      </c>
      <c r="E51" s="31">
        <v>775.45</v>
      </c>
      <c r="F51" s="2">
        <v>6</v>
      </c>
      <c r="G51" s="2">
        <v>0.1</v>
      </c>
      <c r="H51" s="3">
        <v>45457</v>
      </c>
      <c r="I51" s="35">
        <v>174.48</v>
      </c>
      <c r="J51" s="13" t="str">
        <f t="shared" si="2"/>
        <v>Low Discount</v>
      </c>
      <c r="K51" s="43">
        <f t="shared" ca="1" si="3"/>
        <v>46081.56108472222</v>
      </c>
      <c r="L51" s="42" t="str">
        <f>IF(Table1[Sales]&gt;1000,"High purchase","Normal purchase")</f>
        <v>Normal purchase</v>
      </c>
      <c r="M51" s="49">
        <f>Table1[[#This Row],[Profit]]/Table1[[#This Row],[Sales]]</f>
        <v>0.22500483590173445</v>
      </c>
    </row>
    <row r="52" spans="1:13" ht="15" thickBot="1" x14ac:dyDescent="0.35">
      <c r="A52" s="4" t="s">
        <v>25</v>
      </c>
      <c r="B52" s="1" t="s">
        <v>33</v>
      </c>
      <c r="C52" s="1" t="s">
        <v>20</v>
      </c>
      <c r="D52" s="1" t="s">
        <v>21</v>
      </c>
      <c r="E52" s="31">
        <v>1021.47</v>
      </c>
      <c r="F52" s="2">
        <v>6</v>
      </c>
      <c r="G52" s="2">
        <v>0.05</v>
      </c>
      <c r="H52" s="3">
        <v>45461</v>
      </c>
      <c r="I52" s="35">
        <v>242.6</v>
      </c>
      <c r="J52" s="13" t="str">
        <f t="shared" si="2"/>
        <v>Low Discount</v>
      </c>
      <c r="K52" s="43">
        <f t="shared" ca="1" si="3"/>
        <v>46081.56108472222</v>
      </c>
      <c r="L52" s="42" t="str">
        <f>IF(Table1[Sales]&gt;1000,"High purchase","Normal purchase")</f>
        <v>High purchase</v>
      </c>
      <c r="M52" s="49">
        <f>Table1[[#This Row],[Profit]]/Table1[[#This Row],[Sales]]</f>
        <v>0.23750085660861306</v>
      </c>
    </row>
    <row r="53" spans="1:13" ht="15" thickBot="1" x14ac:dyDescent="0.35">
      <c r="A53" s="4" t="s">
        <v>58</v>
      </c>
      <c r="B53" s="1" t="s">
        <v>23</v>
      </c>
      <c r="C53" s="1" t="s">
        <v>20</v>
      </c>
      <c r="D53" s="1" t="s">
        <v>15</v>
      </c>
      <c r="E53" s="31">
        <v>1226.6199999999999</v>
      </c>
      <c r="F53" s="2">
        <v>7</v>
      </c>
      <c r="G53" s="2">
        <v>0.1</v>
      </c>
      <c r="H53" s="3">
        <v>45463</v>
      </c>
      <c r="I53" s="35">
        <v>551.98</v>
      </c>
      <c r="J53" s="13" t="str">
        <f t="shared" si="2"/>
        <v>Low Discount</v>
      </c>
      <c r="K53" s="43">
        <f t="shared" ca="1" si="3"/>
        <v>46081.56108472222</v>
      </c>
      <c r="L53" s="42" t="str">
        <f>IF(Table1[Sales]&gt;1000,"High purchase","Normal purchase")</f>
        <v>High purchase</v>
      </c>
      <c r="M53" s="49">
        <f>Table1[[#This Row],[Profit]]/Table1[[#This Row],[Sales]]</f>
        <v>0.45000081524840624</v>
      </c>
    </row>
    <row r="54" spans="1:13" ht="15" thickBot="1" x14ac:dyDescent="0.35">
      <c r="A54" s="4" t="s">
        <v>22</v>
      </c>
      <c r="B54" s="1" t="s">
        <v>64</v>
      </c>
      <c r="C54" s="1" t="s">
        <v>20</v>
      </c>
      <c r="D54" s="1" t="s">
        <v>27</v>
      </c>
      <c r="E54" s="31">
        <v>1086.93</v>
      </c>
      <c r="F54" s="2">
        <v>2</v>
      </c>
      <c r="G54" s="2">
        <v>0</v>
      </c>
      <c r="H54" s="3">
        <v>45464</v>
      </c>
      <c r="I54" s="35">
        <v>380.43</v>
      </c>
      <c r="J54" s="13" t="str">
        <f t="shared" si="2"/>
        <v>No Discount</v>
      </c>
      <c r="K54" s="43">
        <f t="shared" ca="1" si="3"/>
        <v>46081.56108472222</v>
      </c>
      <c r="L54" s="42" t="str">
        <f>IF(Table1[Sales]&gt;1000,"High purchase","Normal purchase")</f>
        <v>High purchase</v>
      </c>
      <c r="M54" s="49">
        <f>Table1[[#This Row],[Profit]]/Table1[[#This Row],[Sales]]</f>
        <v>0.35000414010101843</v>
      </c>
    </row>
    <row r="55" spans="1:13" ht="15" thickBot="1" x14ac:dyDescent="0.35">
      <c r="A55" s="4" t="s">
        <v>65</v>
      </c>
      <c r="B55" s="1" t="s">
        <v>48</v>
      </c>
      <c r="C55" s="1" t="s">
        <v>11</v>
      </c>
      <c r="D55" s="1" t="s">
        <v>12</v>
      </c>
      <c r="E55" s="31">
        <v>942.9</v>
      </c>
      <c r="F55" s="2">
        <v>18</v>
      </c>
      <c r="G55" s="2">
        <v>0.1</v>
      </c>
      <c r="H55" s="3">
        <v>45466</v>
      </c>
      <c r="I55" s="35">
        <v>339.44</v>
      </c>
      <c r="J55" s="13" t="str">
        <f t="shared" si="2"/>
        <v>Low Discount</v>
      </c>
      <c r="K55" s="43">
        <f t="shared" ca="1" si="3"/>
        <v>46081.56108472222</v>
      </c>
      <c r="L55" s="42" t="str">
        <f>IF(Table1[Sales]&gt;1000,"High purchase","Normal purchase")</f>
        <v>Normal purchase</v>
      </c>
      <c r="M55" s="49">
        <f>Table1[[#This Row],[Profit]]/Table1[[#This Row],[Sales]]</f>
        <v>0.35999575776858628</v>
      </c>
    </row>
    <row r="56" spans="1:13" ht="15" thickBot="1" x14ac:dyDescent="0.35">
      <c r="A56" s="4" t="s">
        <v>32</v>
      </c>
      <c r="B56" s="1" t="s">
        <v>38</v>
      </c>
      <c r="C56" s="1" t="s">
        <v>24</v>
      </c>
      <c r="D56" s="1" t="s">
        <v>21</v>
      </c>
      <c r="E56" s="31">
        <v>818.8</v>
      </c>
      <c r="F56" s="2">
        <v>15</v>
      </c>
      <c r="G56" s="2">
        <v>0.15</v>
      </c>
      <c r="H56" s="3">
        <v>45468</v>
      </c>
      <c r="I56" s="35">
        <v>173.99</v>
      </c>
      <c r="J56" s="13" t="str">
        <f t="shared" si="2"/>
        <v>Medium Discount</v>
      </c>
      <c r="K56" s="43">
        <f t="shared" ca="1" si="3"/>
        <v>46081.56108472222</v>
      </c>
      <c r="L56" s="42" t="str">
        <f>IF(Table1[Sales]&gt;1000,"High purchase","Normal purchase")</f>
        <v>Normal purchase</v>
      </c>
      <c r="M56" s="49">
        <f>Table1[[#This Row],[Profit]]/Table1[[#This Row],[Sales]]</f>
        <v>0.21249389350268688</v>
      </c>
    </row>
    <row r="57" spans="1:13" ht="15" thickBot="1" x14ac:dyDescent="0.35">
      <c r="A57" s="4" t="s">
        <v>19</v>
      </c>
      <c r="B57" s="1" t="s">
        <v>14</v>
      </c>
      <c r="C57" s="1" t="s">
        <v>20</v>
      </c>
      <c r="D57" s="1" t="s">
        <v>27</v>
      </c>
      <c r="E57" s="31">
        <v>919.04</v>
      </c>
      <c r="F57" s="2">
        <v>10</v>
      </c>
      <c r="G57" s="2">
        <v>0.2</v>
      </c>
      <c r="H57" s="3">
        <v>45468</v>
      </c>
      <c r="I57" s="35">
        <v>257.33</v>
      </c>
      <c r="J57" s="13" t="str">
        <f t="shared" si="2"/>
        <v>High Discount</v>
      </c>
      <c r="K57" s="43">
        <f t="shared" ca="1" si="3"/>
        <v>46081.56108472222</v>
      </c>
      <c r="L57" s="42" t="str">
        <f>IF(Table1[Sales]&gt;1000,"High purchase","Normal purchase")</f>
        <v>Normal purchase</v>
      </c>
      <c r="M57" s="49">
        <f>Table1[[#This Row],[Profit]]/Table1[[#This Row],[Sales]]</f>
        <v>0.27999869428969359</v>
      </c>
    </row>
    <row r="58" spans="1:13" ht="15" thickBot="1" x14ac:dyDescent="0.35">
      <c r="A58" s="4" t="s">
        <v>22</v>
      </c>
      <c r="B58" s="1" t="s">
        <v>66</v>
      </c>
      <c r="C58" s="1" t="s">
        <v>34</v>
      </c>
      <c r="D58" s="1" t="s">
        <v>12</v>
      </c>
      <c r="E58" s="31">
        <v>973.26</v>
      </c>
      <c r="F58" s="2">
        <v>11</v>
      </c>
      <c r="G58" s="2">
        <v>0</v>
      </c>
      <c r="H58" s="3">
        <v>45470</v>
      </c>
      <c r="I58" s="35">
        <v>389.3</v>
      </c>
      <c r="J58" s="13" t="str">
        <f t="shared" si="2"/>
        <v>No Discount</v>
      </c>
      <c r="K58" s="43">
        <f t="shared" ca="1" si="3"/>
        <v>46081.56108472222</v>
      </c>
      <c r="L58" s="42" t="str">
        <f>IF(Table1[Sales]&gt;1000,"High purchase","Normal purchase")</f>
        <v>Normal purchase</v>
      </c>
      <c r="M58" s="49">
        <f>Table1[[#This Row],[Profit]]/Table1[[#This Row],[Sales]]</f>
        <v>0.39999589010130904</v>
      </c>
    </row>
    <row r="59" spans="1:13" ht="15" thickBot="1" x14ac:dyDescent="0.35">
      <c r="A59" s="4" t="s">
        <v>41</v>
      </c>
      <c r="B59" s="1" t="s">
        <v>64</v>
      </c>
      <c r="C59" s="1" t="s">
        <v>24</v>
      </c>
      <c r="D59" s="1" t="s">
        <v>21</v>
      </c>
      <c r="E59" s="31">
        <v>741.61</v>
      </c>
      <c r="F59" s="2">
        <v>1</v>
      </c>
      <c r="G59" s="2">
        <v>0.2</v>
      </c>
      <c r="H59" s="3">
        <v>45471</v>
      </c>
      <c r="I59" s="35">
        <v>148.32</v>
      </c>
      <c r="J59" s="13" t="str">
        <f t="shared" si="2"/>
        <v>High Discount</v>
      </c>
      <c r="K59" s="43">
        <f t="shared" ca="1" si="3"/>
        <v>46081.56108472222</v>
      </c>
      <c r="L59" s="42" t="str">
        <f>IF(Table1[Sales]&gt;1000,"High purchase","Normal purchase")</f>
        <v>Normal purchase</v>
      </c>
      <c r="M59" s="49">
        <f>Table1[[#This Row],[Profit]]/Table1[[#This Row],[Sales]]</f>
        <v>0.19999730316473616</v>
      </c>
    </row>
    <row r="60" spans="1:13" ht="15" thickBot="1" x14ac:dyDescent="0.35">
      <c r="A60" s="4" t="s">
        <v>67</v>
      </c>
      <c r="B60" s="1" t="s">
        <v>38</v>
      </c>
      <c r="C60" s="1" t="s">
        <v>24</v>
      </c>
      <c r="D60" s="1" t="s">
        <v>12</v>
      </c>
      <c r="E60" s="31">
        <v>1248.82</v>
      </c>
      <c r="F60" s="2">
        <v>2</v>
      </c>
      <c r="G60" s="2">
        <v>0.1</v>
      </c>
      <c r="H60" s="3">
        <v>45473</v>
      </c>
      <c r="I60" s="35">
        <v>449.58</v>
      </c>
      <c r="J60" s="13" t="str">
        <f t="shared" si="2"/>
        <v>Low Discount</v>
      </c>
      <c r="K60" s="43">
        <f t="shared" ca="1" si="3"/>
        <v>46081.56108472222</v>
      </c>
      <c r="L60" s="42" t="str">
        <f>IF(Table1[Sales]&gt;1000,"High purchase","Normal purchase")</f>
        <v>High purchase</v>
      </c>
      <c r="M60" s="49">
        <f>Table1[[#This Row],[Profit]]/Table1[[#This Row],[Sales]]</f>
        <v>0.36000384362838522</v>
      </c>
    </row>
    <row r="61" spans="1:13" ht="15" thickBot="1" x14ac:dyDescent="0.35">
      <c r="A61" s="4" t="s">
        <v>13</v>
      </c>
      <c r="B61" s="1" t="s">
        <v>59</v>
      </c>
      <c r="C61" s="1" t="s">
        <v>11</v>
      </c>
      <c r="D61" s="1" t="s">
        <v>15</v>
      </c>
      <c r="E61" s="31">
        <v>1360.36</v>
      </c>
      <c r="F61" s="2">
        <v>17</v>
      </c>
      <c r="G61" s="2">
        <v>0</v>
      </c>
      <c r="H61" s="3">
        <v>45473</v>
      </c>
      <c r="I61" s="35">
        <v>680.18</v>
      </c>
      <c r="J61" s="13" t="str">
        <f t="shared" si="2"/>
        <v>No Discount</v>
      </c>
      <c r="K61" s="43">
        <f t="shared" ca="1" si="3"/>
        <v>46081.56108472222</v>
      </c>
      <c r="L61" s="42" t="str">
        <f>IF(Table1[Sales]&gt;1000,"High purchase","Normal purchase")</f>
        <v>High purchase</v>
      </c>
      <c r="M61" s="49">
        <f>Table1[[#This Row],[Profit]]/Table1[[#This Row],[Sales]]</f>
        <v>0.5</v>
      </c>
    </row>
    <row r="62" spans="1:13" ht="15" thickBot="1" x14ac:dyDescent="0.35">
      <c r="A62" s="4" t="s">
        <v>57</v>
      </c>
      <c r="B62" s="1" t="s">
        <v>31</v>
      </c>
      <c r="C62" s="1" t="s">
        <v>18</v>
      </c>
      <c r="D62" s="1" t="s">
        <v>12</v>
      </c>
      <c r="E62" s="31">
        <v>1383.3</v>
      </c>
      <c r="F62" s="2">
        <v>8</v>
      </c>
      <c r="G62" s="2">
        <v>0.1</v>
      </c>
      <c r="H62" s="3">
        <v>45478</v>
      </c>
      <c r="I62" s="35">
        <v>497.99</v>
      </c>
      <c r="J62" s="13" t="str">
        <f t="shared" si="2"/>
        <v>Low Discount</v>
      </c>
      <c r="K62" s="43">
        <f t="shared" ca="1" si="3"/>
        <v>46081.56108472222</v>
      </c>
      <c r="L62" s="42" t="str">
        <f>IF(Table1[Sales]&gt;1000,"High purchase","Normal purchase")</f>
        <v>High purchase</v>
      </c>
      <c r="M62" s="49">
        <f>Table1[[#This Row],[Profit]]/Table1[[#This Row],[Sales]]</f>
        <v>0.36000144581797155</v>
      </c>
    </row>
    <row r="63" spans="1:13" ht="15" thickBot="1" x14ac:dyDescent="0.35">
      <c r="A63" s="4" t="s">
        <v>35</v>
      </c>
      <c r="B63" s="1" t="s">
        <v>55</v>
      </c>
      <c r="C63" s="1" t="s">
        <v>34</v>
      </c>
      <c r="D63" s="1" t="s">
        <v>39</v>
      </c>
      <c r="E63" s="31">
        <v>488.99</v>
      </c>
      <c r="F63" s="2">
        <v>9</v>
      </c>
      <c r="G63" s="2">
        <v>0</v>
      </c>
      <c r="H63" s="3">
        <v>45479</v>
      </c>
      <c r="I63" s="35">
        <v>220.05</v>
      </c>
      <c r="J63" s="13" t="str">
        <f t="shared" si="2"/>
        <v>No Discount</v>
      </c>
      <c r="K63" s="43">
        <f t="shared" ca="1" si="3"/>
        <v>46081.56108472222</v>
      </c>
      <c r="L63" s="42" t="str">
        <f>IF(Table1[Sales]&gt;1000,"High purchase","Normal purchase")</f>
        <v>Normal purchase</v>
      </c>
      <c r="M63" s="49">
        <f>Table1[[#This Row],[Profit]]/Table1[[#This Row],[Sales]]</f>
        <v>0.45000920264218086</v>
      </c>
    </row>
    <row r="64" spans="1:13" ht="15" thickBot="1" x14ac:dyDescent="0.35">
      <c r="A64" s="4" t="s">
        <v>30</v>
      </c>
      <c r="B64" s="1" t="s">
        <v>31</v>
      </c>
      <c r="C64" s="1" t="s">
        <v>18</v>
      </c>
      <c r="D64" s="1" t="s">
        <v>27</v>
      </c>
      <c r="E64" s="31">
        <v>933.71</v>
      </c>
      <c r="F64" s="2">
        <v>17</v>
      </c>
      <c r="G64" s="2">
        <v>0.1</v>
      </c>
      <c r="H64" s="3">
        <v>45481</v>
      </c>
      <c r="I64" s="35">
        <v>294.12</v>
      </c>
      <c r="J64" s="13" t="str">
        <f t="shared" si="2"/>
        <v>Low Discount</v>
      </c>
      <c r="K64" s="43">
        <f t="shared" ca="1" si="3"/>
        <v>46081.56108472222</v>
      </c>
      <c r="L64" s="42" t="str">
        <f>IF(Table1[Sales]&gt;1000,"High purchase","Normal purchase")</f>
        <v>Normal purchase</v>
      </c>
      <c r="M64" s="49">
        <f>Table1[[#This Row],[Profit]]/Table1[[#This Row],[Sales]]</f>
        <v>0.31500144584506967</v>
      </c>
    </row>
    <row r="65" spans="1:13" ht="15" thickBot="1" x14ac:dyDescent="0.35">
      <c r="A65" s="4" t="s">
        <v>67</v>
      </c>
      <c r="B65" s="1" t="s">
        <v>10</v>
      </c>
      <c r="C65" s="1" t="s">
        <v>11</v>
      </c>
      <c r="D65" s="1" t="s">
        <v>21</v>
      </c>
      <c r="E65" s="31">
        <v>1005.53</v>
      </c>
      <c r="F65" s="2">
        <v>17</v>
      </c>
      <c r="G65" s="2">
        <v>0.2</v>
      </c>
      <c r="H65" s="3">
        <v>45481</v>
      </c>
      <c r="I65" s="35">
        <v>201.11</v>
      </c>
      <c r="J65" s="13" t="str">
        <f t="shared" si="2"/>
        <v>High Discount</v>
      </c>
      <c r="K65" s="43">
        <f t="shared" ca="1" si="3"/>
        <v>46081.56108472222</v>
      </c>
      <c r="L65" s="42" t="str">
        <f>IF(Table1[Sales]&gt;1000,"High purchase","Normal purchase")</f>
        <v>High purchase</v>
      </c>
      <c r="M65" s="49">
        <f>Table1[[#This Row],[Profit]]/Table1[[#This Row],[Sales]]</f>
        <v>0.2000039780016509</v>
      </c>
    </row>
    <row r="66" spans="1:13" ht="15" thickBot="1" x14ac:dyDescent="0.35">
      <c r="A66" s="4" t="s">
        <v>41</v>
      </c>
      <c r="B66" s="1" t="s">
        <v>61</v>
      </c>
      <c r="C66" s="1" t="s">
        <v>20</v>
      </c>
      <c r="D66" s="1" t="s">
        <v>21</v>
      </c>
      <c r="E66" s="31">
        <v>1100.0999999999999</v>
      </c>
      <c r="F66" s="2">
        <v>5</v>
      </c>
      <c r="G66" s="2">
        <v>0.05</v>
      </c>
      <c r="H66" s="3">
        <v>45482</v>
      </c>
      <c r="I66" s="35">
        <v>261.27</v>
      </c>
      <c r="J66" s="13" t="str">
        <f t="shared" ref="J66:J97" si="4">_xlfn.IFS(G66=0,"No Discount", G66&lt;=0.1,"Low Discount",G66&lt;=0.15,"Medium Discount",G66&gt;0.15,"High Discount")</f>
        <v>Low Discount</v>
      </c>
      <c r="K66" s="43">
        <f t="shared" ref="K66:K97" ca="1" si="5">NOW()</f>
        <v>46081.56108472222</v>
      </c>
      <c r="L66" s="42" t="str">
        <f>IF(Table1[Sales]&gt;1000,"High purchase","Normal purchase")</f>
        <v>High purchase</v>
      </c>
      <c r="M66" s="49">
        <f>Table1[[#This Row],[Profit]]/Table1[[#This Row],[Sales]]</f>
        <v>0.23749659121898009</v>
      </c>
    </row>
    <row r="67" spans="1:13" ht="15" thickBot="1" x14ac:dyDescent="0.35">
      <c r="A67" s="4" t="s">
        <v>67</v>
      </c>
      <c r="B67" s="1" t="s">
        <v>23</v>
      </c>
      <c r="C67" s="1" t="s">
        <v>24</v>
      </c>
      <c r="D67" s="1" t="s">
        <v>27</v>
      </c>
      <c r="E67" s="31">
        <v>1034.7</v>
      </c>
      <c r="F67" s="2">
        <v>15</v>
      </c>
      <c r="G67" s="2">
        <v>0.15</v>
      </c>
      <c r="H67" s="3">
        <v>45487</v>
      </c>
      <c r="I67" s="35">
        <v>307.82</v>
      </c>
      <c r="J67" s="13" t="str">
        <f t="shared" si="4"/>
        <v>Medium Discount</v>
      </c>
      <c r="K67" s="43">
        <f t="shared" ca="1" si="5"/>
        <v>46081.56108472222</v>
      </c>
      <c r="L67" s="42" t="str">
        <f>IF(Table1[Sales]&gt;1000,"High purchase","Normal purchase")</f>
        <v>High purchase</v>
      </c>
      <c r="M67" s="49">
        <f>Table1[[#This Row],[Profit]]/Table1[[#This Row],[Sales]]</f>
        <v>0.29749685899294481</v>
      </c>
    </row>
    <row r="68" spans="1:13" ht="15" thickBot="1" x14ac:dyDescent="0.35">
      <c r="A68" s="4" t="s">
        <v>65</v>
      </c>
      <c r="B68" s="1" t="s">
        <v>31</v>
      </c>
      <c r="C68" s="1" t="s">
        <v>20</v>
      </c>
      <c r="D68" s="1" t="s">
        <v>12</v>
      </c>
      <c r="E68" s="31">
        <v>876.44</v>
      </c>
      <c r="F68" s="2">
        <v>12</v>
      </c>
      <c r="G68" s="2">
        <v>0.05</v>
      </c>
      <c r="H68" s="3">
        <v>45488</v>
      </c>
      <c r="I68" s="35">
        <v>333.05</v>
      </c>
      <c r="J68" s="13" t="str">
        <f t="shared" si="4"/>
        <v>Low Discount</v>
      </c>
      <c r="K68" s="43">
        <f t="shared" ca="1" si="5"/>
        <v>46081.56108472222</v>
      </c>
      <c r="L68" s="42" t="str">
        <f>IF(Table1[Sales]&gt;1000,"High purchase","Normal purchase")</f>
        <v>Normal purchase</v>
      </c>
      <c r="M68" s="49">
        <f>Table1[[#This Row],[Profit]]/Table1[[#This Row],[Sales]]</f>
        <v>0.38000319474236682</v>
      </c>
    </row>
    <row r="69" spans="1:13" ht="15" thickBot="1" x14ac:dyDescent="0.35">
      <c r="A69" s="4" t="s">
        <v>68</v>
      </c>
      <c r="B69" s="1" t="s">
        <v>55</v>
      </c>
      <c r="C69" s="1" t="s">
        <v>11</v>
      </c>
      <c r="D69" s="1" t="s">
        <v>27</v>
      </c>
      <c r="E69" s="31">
        <v>1371.34</v>
      </c>
      <c r="F69" s="2">
        <v>5</v>
      </c>
      <c r="G69" s="2">
        <v>0.05</v>
      </c>
      <c r="H69" s="3">
        <v>45488</v>
      </c>
      <c r="I69" s="35">
        <v>455.97</v>
      </c>
      <c r="J69" s="13" t="str">
        <f t="shared" si="4"/>
        <v>Low Discount</v>
      </c>
      <c r="K69" s="43">
        <f t="shared" ca="1" si="5"/>
        <v>46081.56108472222</v>
      </c>
      <c r="L69" s="42" t="str">
        <f>IF(Table1[Sales]&gt;1000,"High purchase","Normal purchase")</f>
        <v>High purchase</v>
      </c>
      <c r="M69" s="49">
        <f>Table1[[#This Row],[Profit]]/Table1[[#This Row],[Sales]]</f>
        <v>0.33249959893243108</v>
      </c>
    </row>
    <row r="70" spans="1:13" ht="15" thickBot="1" x14ac:dyDescent="0.35">
      <c r="A70" s="4" t="s">
        <v>57</v>
      </c>
      <c r="B70" s="1" t="s">
        <v>47</v>
      </c>
      <c r="C70" s="1" t="s">
        <v>24</v>
      </c>
      <c r="D70" s="1" t="s">
        <v>21</v>
      </c>
      <c r="E70" s="31">
        <v>1020.26</v>
      </c>
      <c r="F70" s="2">
        <v>11</v>
      </c>
      <c r="G70" s="2">
        <v>0.05</v>
      </c>
      <c r="H70" s="3">
        <v>45494</v>
      </c>
      <c r="I70" s="35">
        <v>242.31</v>
      </c>
      <c r="J70" s="13" t="str">
        <f t="shared" si="4"/>
        <v>Low Discount</v>
      </c>
      <c r="K70" s="43">
        <f t="shared" ca="1" si="5"/>
        <v>46081.56108472222</v>
      </c>
      <c r="L70" s="42" t="str">
        <f>IF(Table1[Sales]&gt;1000,"High purchase","Normal purchase")</f>
        <v>High purchase</v>
      </c>
      <c r="M70" s="49">
        <f>Table1[[#This Row],[Profit]]/Table1[[#This Row],[Sales]]</f>
        <v>0.23749828475094584</v>
      </c>
    </row>
    <row r="71" spans="1:13" ht="15" thickBot="1" x14ac:dyDescent="0.35">
      <c r="A71" s="4" t="s">
        <v>44</v>
      </c>
      <c r="B71" s="1" t="s">
        <v>10</v>
      </c>
      <c r="C71" s="1" t="s">
        <v>34</v>
      </c>
      <c r="D71" s="1" t="s">
        <v>39</v>
      </c>
      <c r="E71" s="31">
        <v>804.81</v>
      </c>
      <c r="F71" s="2">
        <v>1</v>
      </c>
      <c r="G71" s="2">
        <v>0.05</v>
      </c>
      <c r="H71" s="3">
        <v>45502</v>
      </c>
      <c r="I71" s="35">
        <v>344.06</v>
      </c>
      <c r="J71" s="13" t="str">
        <f t="shared" si="4"/>
        <v>Low Discount</v>
      </c>
      <c r="K71" s="43">
        <f t="shared" ca="1" si="5"/>
        <v>46081.56108472222</v>
      </c>
      <c r="L71" s="42" t="str">
        <f>IF(Table1[Sales]&gt;1000,"High purchase","Normal purchase")</f>
        <v>Normal purchase</v>
      </c>
      <c r="M71" s="49">
        <f>Table1[[#This Row],[Profit]]/Table1[[#This Row],[Sales]]</f>
        <v>0.42750462842161507</v>
      </c>
    </row>
    <row r="72" spans="1:13" ht="15" thickBot="1" x14ac:dyDescent="0.35">
      <c r="A72" s="4" t="s">
        <v>22</v>
      </c>
      <c r="B72" s="1" t="s">
        <v>55</v>
      </c>
      <c r="C72" s="1" t="s">
        <v>34</v>
      </c>
      <c r="D72" s="1" t="s">
        <v>21</v>
      </c>
      <c r="E72" s="31">
        <v>608.66</v>
      </c>
      <c r="F72" s="2">
        <v>1</v>
      </c>
      <c r="G72" s="2">
        <v>0.05</v>
      </c>
      <c r="H72" s="3">
        <v>45503</v>
      </c>
      <c r="I72" s="35">
        <v>144.56</v>
      </c>
      <c r="J72" s="13" t="str">
        <f t="shared" si="4"/>
        <v>Low Discount</v>
      </c>
      <c r="K72" s="43">
        <f t="shared" ca="1" si="5"/>
        <v>46081.56108472222</v>
      </c>
      <c r="L72" s="42" t="str">
        <f>IF(Table1[Sales]&gt;1000,"High purchase","Normal purchase")</f>
        <v>Normal purchase</v>
      </c>
      <c r="M72" s="49">
        <f>Table1[[#This Row],[Profit]]/Table1[[#This Row],[Sales]]</f>
        <v>0.23750533959846221</v>
      </c>
    </row>
    <row r="73" spans="1:13" ht="15" thickBot="1" x14ac:dyDescent="0.35">
      <c r="A73" s="4" t="s">
        <v>68</v>
      </c>
      <c r="B73" s="1" t="s">
        <v>69</v>
      </c>
      <c r="C73" s="1" t="s">
        <v>20</v>
      </c>
      <c r="D73" s="1" t="s">
        <v>39</v>
      </c>
      <c r="E73" s="31">
        <v>981.2</v>
      </c>
      <c r="F73" s="2">
        <v>19</v>
      </c>
      <c r="G73" s="2">
        <v>0</v>
      </c>
      <c r="H73" s="3">
        <v>45504</v>
      </c>
      <c r="I73" s="35">
        <v>441.54</v>
      </c>
      <c r="J73" s="13" t="str">
        <f t="shared" si="4"/>
        <v>No Discount</v>
      </c>
      <c r="K73" s="43">
        <f t="shared" ca="1" si="5"/>
        <v>46081.56108472222</v>
      </c>
      <c r="L73" s="42" t="str">
        <f>IF(Table1[Sales]&gt;1000,"High purchase","Normal purchase")</f>
        <v>Normal purchase</v>
      </c>
      <c r="M73" s="49">
        <f>Table1[[#This Row],[Profit]]/Table1[[#This Row],[Sales]]</f>
        <v>0.45</v>
      </c>
    </row>
    <row r="74" spans="1:13" ht="15" thickBot="1" x14ac:dyDescent="0.35">
      <c r="A74" s="4" t="s">
        <v>70</v>
      </c>
      <c r="B74" s="1" t="s">
        <v>55</v>
      </c>
      <c r="C74" s="1" t="s">
        <v>18</v>
      </c>
      <c r="D74" s="1" t="s">
        <v>21</v>
      </c>
      <c r="E74" s="31">
        <v>539.77</v>
      </c>
      <c r="F74" s="2">
        <v>10</v>
      </c>
      <c r="G74" s="2">
        <v>0.15</v>
      </c>
      <c r="H74" s="3">
        <v>45509</v>
      </c>
      <c r="I74" s="35">
        <v>114.7</v>
      </c>
      <c r="J74" s="13" t="str">
        <f t="shared" si="4"/>
        <v>Medium Discount</v>
      </c>
      <c r="K74" s="43">
        <f t="shared" ca="1" si="5"/>
        <v>46081.56108472222</v>
      </c>
      <c r="L74" s="42" t="str">
        <f>IF(Table1[Sales]&gt;1000,"High purchase","Normal purchase")</f>
        <v>Normal purchase</v>
      </c>
      <c r="M74" s="49">
        <f>Table1[[#This Row],[Profit]]/Table1[[#This Row],[Sales]]</f>
        <v>0.21249791577894289</v>
      </c>
    </row>
    <row r="75" spans="1:13" ht="15" thickBot="1" x14ac:dyDescent="0.35">
      <c r="A75" s="4" t="s">
        <v>13</v>
      </c>
      <c r="B75" s="1" t="s">
        <v>71</v>
      </c>
      <c r="C75" s="1" t="s">
        <v>20</v>
      </c>
      <c r="D75" s="1" t="s">
        <v>12</v>
      </c>
      <c r="E75" s="31">
        <v>804.45</v>
      </c>
      <c r="F75" s="2">
        <v>5</v>
      </c>
      <c r="G75" s="2">
        <v>0.2</v>
      </c>
      <c r="H75" s="3">
        <v>45509</v>
      </c>
      <c r="I75" s="35">
        <v>257.42</v>
      </c>
      <c r="J75" s="13" t="str">
        <f t="shared" si="4"/>
        <v>High Discount</v>
      </c>
      <c r="K75" s="43">
        <f t="shared" ca="1" si="5"/>
        <v>46081.56108472222</v>
      </c>
      <c r="L75" s="42" t="str">
        <f>IF(Table1[Sales]&gt;1000,"High purchase","Normal purchase")</f>
        <v>Normal purchase</v>
      </c>
      <c r="M75" s="49">
        <f>Table1[[#This Row],[Profit]]/Table1[[#This Row],[Sales]]</f>
        <v>0.31999502765864879</v>
      </c>
    </row>
    <row r="76" spans="1:13" ht="15" thickBot="1" x14ac:dyDescent="0.35">
      <c r="A76" s="4" t="s">
        <v>70</v>
      </c>
      <c r="B76" s="1" t="s">
        <v>38</v>
      </c>
      <c r="C76" s="1" t="s">
        <v>11</v>
      </c>
      <c r="D76" s="1" t="s">
        <v>21</v>
      </c>
      <c r="E76" s="31">
        <v>1526.6</v>
      </c>
      <c r="F76" s="2">
        <v>13</v>
      </c>
      <c r="G76" s="2">
        <v>0.2</v>
      </c>
      <c r="H76" s="3">
        <v>45512</v>
      </c>
      <c r="I76" s="35">
        <v>305.32</v>
      </c>
      <c r="J76" s="13" t="str">
        <f t="shared" si="4"/>
        <v>High Discount</v>
      </c>
      <c r="K76" s="43">
        <f t="shared" ca="1" si="5"/>
        <v>46081.56108472222</v>
      </c>
      <c r="L76" s="42" t="str">
        <f>IF(Table1[Sales]&gt;1000,"High purchase","Normal purchase")</f>
        <v>High purchase</v>
      </c>
      <c r="M76" s="49">
        <f>Table1[[#This Row],[Profit]]/Table1[[#This Row],[Sales]]</f>
        <v>0.2</v>
      </c>
    </row>
    <row r="77" spans="1:13" ht="15" thickBot="1" x14ac:dyDescent="0.35">
      <c r="A77" s="4" t="s">
        <v>13</v>
      </c>
      <c r="B77" s="1" t="s">
        <v>29</v>
      </c>
      <c r="C77" s="1" t="s">
        <v>11</v>
      </c>
      <c r="D77" s="1" t="s">
        <v>21</v>
      </c>
      <c r="E77" s="31">
        <v>1215.26</v>
      </c>
      <c r="F77" s="2">
        <v>5</v>
      </c>
      <c r="G77" s="2">
        <v>0.15</v>
      </c>
      <c r="H77" s="3">
        <v>45513</v>
      </c>
      <c r="I77" s="35">
        <v>258.24</v>
      </c>
      <c r="J77" s="13" t="str">
        <f t="shared" si="4"/>
        <v>Medium Discount</v>
      </c>
      <c r="K77" s="43">
        <f t="shared" ca="1" si="5"/>
        <v>46081.56108472222</v>
      </c>
      <c r="L77" s="42" t="str">
        <f>IF(Table1[Sales]&gt;1000,"High purchase","Normal purchase")</f>
        <v>High purchase</v>
      </c>
      <c r="M77" s="49">
        <f>Table1[[#This Row],[Profit]]/Table1[[#This Row],[Sales]]</f>
        <v>0.21249773710975431</v>
      </c>
    </row>
    <row r="78" spans="1:13" ht="15" thickBot="1" x14ac:dyDescent="0.35">
      <c r="A78" s="4" t="s">
        <v>19</v>
      </c>
      <c r="B78" s="1" t="s">
        <v>53</v>
      </c>
      <c r="C78" s="1" t="s">
        <v>34</v>
      </c>
      <c r="D78" s="1" t="s">
        <v>27</v>
      </c>
      <c r="E78" s="31">
        <v>1261.3399999999999</v>
      </c>
      <c r="F78" s="2">
        <v>3</v>
      </c>
      <c r="G78" s="2">
        <v>0</v>
      </c>
      <c r="H78" s="3">
        <v>45519</v>
      </c>
      <c r="I78" s="35">
        <v>441.47</v>
      </c>
      <c r="J78" s="13" t="str">
        <f t="shared" si="4"/>
        <v>No Discount</v>
      </c>
      <c r="K78" s="43">
        <f t="shared" ca="1" si="5"/>
        <v>46081.56108472222</v>
      </c>
      <c r="L78" s="42" t="str">
        <f>IF(Table1[Sales]&gt;1000,"High purchase","Normal purchase")</f>
        <v>High purchase</v>
      </c>
      <c r="M78" s="49">
        <f>Table1[[#This Row],[Profit]]/Table1[[#This Row],[Sales]]</f>
        <v>0.35000079280764906</v>
      </c>
    </row>
    <row r="79" spans="1:13" ht="15" thickBot="1" x14ac:dyDescent="0.35">
      <c r="A79" s="4" t="s">
        <v>72</v>
      </c>
      <c r="B79" s="1" t="s">
        <v>45</v>
      </c>
      <c r="C79" s="1" t="s">
        <v>24</v>
      </c>
      <c r="D79" s="1" t="s">
        <v>27</v>
      </c>
      <c r="E79" s="31">
        <v>518.07000000000005</v>
      </c>
      <c r="F79" s="2">
        <v>7</v>
      </c>
      <c r="G79" s="2">
        <v>0.05</v>
      </c>
      <c r="H79" s="3">
        <v>45522</v>
      </c>
      <c r="I79" s="35">
        <v>172.26</v>
      </c>
      <c r="J79" s="13" t="str">
        <f t="shared" si="4"/>
        <v>Low Discount</v>
      </c>
      <c r="K79" s="43">
        <f t="shared" ca="1" si="5"/>
        <v>46081.56108472222</v>
      </c>
      <c r="L79" s="42" t="str">
        <f>IF(Table1[Sales]&gt;1000,"High purchase","Normal purchase")</f>
        <v>Normal purchase</v>
      </c>
      <c r="M79" s="49">
        <f>Table1[[#This Row],[Profit]]/Table1[[#This Row],[Sales]]</f>
        <v>0.3325033296658752</v>
      </c>
    </row>
    <row r="80" spans="1:13" ht="15" thickBot="1" x14ac:dyDescent="0.35">
      <c r="A80" s="4" t="s">
        <v>30</v>
      </c>
      <c r="B80" s="1" t="s">
        <v>29</v>
      </c>
      <c r="C80" s="1" t="s">
        <v>11</v>
      </c>
      <c r="D80" s="1" t="s">
        <v>39</v>
      </c>
      <c r="E80" s="31">
        <v>1111.3399999999999</v>
      </c>
      <c r="F80" s="2">
        <v>1</v>
      </c>
      <c r="G80" s="2">
        <v>0</v>
      </c>
      <c r="H80" s="3">
        <v>45523</v>
      </c>
      <c r="I80" s="35">
        <v>500.1</v>
      </c>
      <c r="J80" s="13" t="str">
        <f t="shared" si="4"/>
        <v>No Discount</v>
      </c>
      <c r="K80" s="43">
        <f t="shared" ca="1" si="5"/>
        <v>46081.56108472222</v>
      </c>
      <c r="L80" s="42" t="str">
        <f>IF(Table1[Sales]&gt;1000,"High purchase","Normal purchase")</f>
        <v>High purchase</v>
      </c>
      <c r="M80" s="49">
        <f>Table1[[#This Row],[Profit]]/Table1[[#This Row],[Sales]]</f>
        <v>0.4499973005560855</v>
      </c>
    </row>
    <row r="81" spans="1:13" ht="15" thickBot="1" x14ac:dyDescent="0.35">
      <c r="A81" s="4" t="s">
        <v>22</v>
      </c>
      <c r="B81" s="1" t="s">
        <v>31</v>
      </c>
      <c r="C81" s="1" t="s">
        <v>18</v>
      </c>
      <c r="D81" s="1" t="s">
        <v>15</v>
      </c>
      <c r="E81" s="31">
        <v>1291.47</v>
      </c>
      <c r="F81" s="2">
        <v>18</v>
      </c>
      <c r="G81" s="2">
        <v>0.1</v>
      </c>
      <c r="H81" s="3">
        <v>45526</v>
      </c>
      <c r="I81" s="35">
        <v>581.16</v>
      </c>
      <c r="J81" s="13" t="str">
        <f t="shared" si="4"/>
        <v>Low Discount</v>
      </c>
      <c r="K81" s="43">
        <f t="shared" ca="1" si="5"/>
        <v>46081.56108472222</v>
      </c>
      <c r="L81" s="42" t="str">
        <f>IF(Table1[Sales]&gt;1000,"High purchase","Normal purchase")</f>
        <v>High purchase</v>
      </c>
      <c r="M81" s="49">
        <f>Table1[[#This Row],[Profit]]/Table1[[#This Row],[Sales]]</f>
        <v>0.44999883853283462</v>
      </c>
    </row>
    <row r="82" spans="1:13" ht="15" thickBot="1" x14ac:dyDescent="0.35">
      <c r="A82" s="4" t="s">
        <v>25</v>
      </c>
      <c r="B82" s="1" t="s">
        <v>55</v>
      </c>
      <c r="C82" s="1" t="s">
        <v>24</v>
      </c>
      <c r="D82" s="1" t="s">
        <v>12</v>
      </c>
      <c r="E82" s="31">
        <v>679.71</v>
      </c>
      <c r="F82" s="2">
        <v>19</v>
      </c>
      <c r="G82" s="2">
        <v>0</v>
      </c>
      <c r="H82" s="3">
        <v>45534</v>
      </c>
      <c r="I82" s="35">
        <v>271.88</v>
      </c>
      <c r="J82" s="13" t="str">
        <f t="shared" si="4"/>
        <v>No Discount</v>
      </c>
      <c r="K82" s="43">
        <f t="shared" ca="1" si="5"/>
        <v>46081.56108472222</v>
      </c>
      <c r="L82" s="42" t="str">
        <f>IF(Table1[Sales]&gt;1000,"High purchase","Normal purchase")</f>
        <v>Normal purchase</v>
      </c>
      <c r="M82" s="49">
        <f>Table1[[#This Row],[Profit]]/Table1[[#This Row],[Sales]]</f>
        <v>0.39999411513733796</v>
      </c>
    </row>
    <row r="83" spans="1:13" ht="15" thickBot="1" x14ac:dyDescent="0.35">
      <c r="A83" s="4" t="s">
        <v>68</v>
      </c>
      <c r="B83" s="1" t="s">
        <v>33</v>
      </c>
      <c r="C83" s="1" t="s">
        <v>18</v>
      </c>
      <c r="D83" s="1" t="s">
        <v>27</v>
      </c>
      <c r="E83" s="31">
        <v>1143.69</v>
      </c>
      <c r="F83" s="2">
        <v>17</v>
      </c>
      <c r="G83" s="2">
        <v>0</v>
      </c>
      <c r="H83" s="3">
        <v>45534</v>
      </c>
      <c r="I83" s="35">
        <v>400.29</v>
      </c>
      <c r="J83" s="13" t="str">
        <f t="shared" si="4"/>
        <v>No Discount</v>
      </c>
      <c r="K83" s="43">
        <f t="shared" ca="1" si="5"/>
        <v>46081.56108472222</v>
      </c>
      <c r="L83" s="42" t="str">
        <f>IF(Table1[Sales]&gt;1000,"High purchase","Normal purchase")</f>
        <v>High purchase</v>
      </c>
      <c r="M83" s="49">
        <f>Table1[[#This Row],[Profit]]/Table1[[#This Row],[Sales]]</f>
        <v>0.34999868845578785</v>
      </c>
    </row>
    <row r="84" spans="1:13" ht="15" thickBot="1" x14ac:dyDescent="0.35">
      <c r="A84" s="4" t="s">
        <v>52</v>
      </c>
      <c r="B84" s="1" t="s">
        <v>50</v>
      </c>
      <c r="C84" s="1" t="s">
        <v>34</v>
      </c>
      <c r="D84" s="1" t="s">
        <v>21</v>
      </c>
      <c r="E84" s="31">
        <v>790.08</v>
      </c>
      <c r="F84" s="2">
        <v>7</v>
      </c>
      <c r="G84" s="2">
        <v>0.1</v>
      </c>
      <c r="H84" s="3">
        <v>45536</v>
      </c>
      <c r="I84" s="35">
        <v>177.77</v>
      </c>
      <c r="J84" s="13" t="str">
        <f t="shared" si="4"/>
        <v>Low Discount</v>
      </c>
      <c r="K84" s="43">
        <f t="shared" ca="1" si="5"/>
        <v>46081.56108472222</v>
      </c>
      <c r="L84" s="42" t="str">
        <f>IF(Table1[Sales]&gt;1000,"High purchase","Normal purchase")</f>
        <v>Normal purchase</v>
      </c>
      <c r="M84" s="49">
        <f>Table1[[#This Row],[Profit]]/Table1[[#This Row],[Sales]]</f>
        <v>0.22500253138922641</v>
      </c>
    </row>
    <row r="85" spans="1:13" ht="15" thickBot="1" x14ac:dyDescent="0.35">
      <c r="A85" s="4" t="s">
        <v>19</v>
      </c>
      <c r="B85" s="1" t="s">
        <v>48</v>
      </c>
      <c r="C85" s="1" t="s">
        <v>34</v>
      </c>
      <c r="D85" s="1" t="s">
        <v>12</v>
      </c>
      <c r="E85" s="31">
        <v>1070.68</v>
      </c>
      <c r="F85" s="2">
        <v>7</v>
      </c>
      <c r="G85" s="2">
        <v>0.05</v>
      </c>
      <c r="H85" s="3">
        <v>45536</v>
      </c>
      <c r="I85" s="35">
        <v>406.86</v>
      </c>
      <c r="J85" s="13" t="str">
        <f t="shared" si="4"/>
        <v>Low Discount</v>
      </c>
      <c r="K85" s="43">
        <f t="shared" ca="1" si="5"/>
        <v>46081.56108472222</v>
      </c>
      <c r="L85" s="42" t="str">
        <f>IF(Table1[Sales]&gt;1000,"High purchase","Normal purchase")</f>
        <v>High purchase</v>
      </c>
      <c r="M85" s="49">
        <f>Table1[[#This Row],[Profit]]/Table1[[#This Row],[Sales]]</f>
        <v>0.38000149437740499</v>
      </c>
    </row>
    <row r="86" spans="1:13" ht="15" thickBot="1" x14ac:dyDescent="0.35">
      <c r="A86" s="4" t="s">
        <v>58</v>
      </c>
      <c r="B86" s="1" t="s">
        <v>36</v>
      </c>
      <c r="C86" s="1" t="s">
        <v>11</v>
      </c>
      <c r="D86" s="1" t="s">
        <v>15</v>
      </c>
      <c r="E86" s="31">
        <v>1168.8900000000001</v>
      </c>
      <c r="F86" s="2">
        <v>4</v>
      </c>
      <c r="G86" s="2">
        <v>0.1</v>
      </c>
      <c r="H86" s="3">
        <v>45544</v>
      </c>
      <c r="I86" s="35">
        <v>526</v>
      </c>
      <c r="J86" s="13" t="str">
        <f t="shared" si="4"/>
        <v>Low Discount</v>
      </c>
      <c r="K86" s="43">
        <f t="shared" ca="1" si="5"/>
        <v>46081.56108472222</v>
      </c>
      <c r="L86" s="42" t="str">
        <f>IF(Table1[Sales]&gt;1000,"High purchase","Normal purchase")</f>
        <v>High purchase</v>
      </c>
      <c r="M86" s="49">
        <f>Table1[[#This Row],[Profit]]/Table1[[#This Row],[Sales]]</f>
        <v>0.44999957224375259</v>
      </c>
    </row>
    <row r="87" spans="1:13" ht="15" thickBot="1" x14ac:dyDescent="0.35">
      <c r="A87" s="4" t="s">
        <v>67</v>
      </c>
      <c r="B87" s="1" t="s">
        <v>10</v>
      </c>
      <c r="C87" s="1" t="s">
        <v>20</v>
      </c>
      <c r="D87" s="1" t="s">
        <v>21</v>
      </c>
      <c r="E87" s="31">
        <v>1335.87</v>
      </c>
      <c r="F87" s="2">
        <v>17</v>
      </c>
      <c r="G87" s="2">
        <v>0</v>
      </c>
      <c r="H87" s="3">
        <v>45544</v>
      </c>
      <c r="I87" s="35">
        <v>333.97</v>
      </c>
      <c r="J87" s="13" t="str">
        <f t="shared" si="4"/>
        <v>No Discount</v>
      </c>
      <c r="K87" s="43">
        <f t="shared" ca="1" si="5"/>
        <v>46081.56108472222</v>
      </c>
      <c r="L87" s="42" t="str">
        <f>IF(Table1[Sales]&gt;1000,"High purchase","Normal purchase")</f>
        <v>High purchase</v>
      </c>
      <c r="M87" s="49">
        <f>Table1[[#This Row],[Profit]]/Table1[[#This Row],[Sales]]</f>
        <v>0.25000187143958624</v>
      </c>
    </row>
    <row r="88" spans="1:13" ht="15" thickBot="1" x14ac:dyDescent="0.35">
      <c r="A88" s="4" t="s">
        <v>40</v>
      </c>
      <c r="B88" s="1" t="s">
        <v>55</v>
      </c>
      <c r="C88" s="1" t="s">
        <v>18</v>
      </c>
      <c r="D88" s="1" t="s">
        <v>27</v>
      </c>
      <c r="E88" s="31">
        <v>873.7</v>
      </c>
      <c r="F88" s="2">
        <v>9</v>
      </c>
      <c r="G88" s="2">
        <v>0</v>
      </c>
      <c r="H88" s="3">
        <v>45546</v>
      </c>
      <c r="I88" s="35">
        <v>305.8</v>
      </c>
      <c r="J88" s="13" t="str">
        <f t="shared" si="4"/>
        <v>No Discount</v>
      </c>
      <c r="K88" s="43">
        <f t="shared" ca="1" si="5"/>
        <v>46081.56108472222</v>
      </c>
      <c r="L88" s="42" t="str">
        <f>IF(Table1[Sales]&gt;1000,"High purchase","Normal purchase")</f>
        <v>Normal purchase</v>
      </c>
      <c r="M88" s="49">
        <f>Table1[[#This Row],[Profit]]/Table1[[#This Row],[Sales]]</f>
        <v>0.3500057227881424</v>
      </c>
    </row>
    <row r="89" spans="1:13" ht="15" thickBot="1" x14ac:dyDescent="0.35">
      <c r="A89" s="4" t="s">
        <v>72</v>
      </c>
      <c r="B89" s="1" t="s">
        <v>64</v>
      </c>
      <c r="C89" s="1" t="s">
        <v>11</v>
      </c>
      <c r="D89" s="1" t="s">
        <v>39</v>
      </c>
      <c r="E89" s="31">
        <v>1443.98</v>
      </c>
      <c r="F89" s="2">
        <v>19</v>
      </c>
      <c r="G89" s="2">
        <v>0</v>
      </c>
      <c r="H89" s="3">
        <v>45547</v>
      </c>
      <c r="I89" s="35">
        <v>649.79</v>
      </c>
      <c r="J89" s="13" t="str">
        <f t="shared" si="4"/>
        <v>No Discount</v>
      </c>
      <c r="K89" s="43">
        <f t="shared" ca="1" si="5"/>
        <v>46081.56108472222</v>
      </c>
      <c r="L89" s="42" t="str">
        <f>IF(Table1[Sales]&gt;1000,"High purchase","Normal purchase")</f>
        <v>High purchase</v>
      </c>
      <c r="M89" s="49">
        <f>Table1[[#This Row],[Profit]]/Table1[[#This Row],[Sales]]</f>
        <v>0.44999930746963251</v>
      </c>
    </row>
    <row r="90" spans="1:13" ht="15" thickBot="1" x14ac:dyDescent="0.35">
      <c r="A90" s="4" t="s">
        <v>40</v>
      </c>
      <c r="B90" s="1" t="s">
        <v>23</v>
      </c>
      <c r="C90" s="1" t="s">
        <v>18</v>
      </c>
      <c r="D90" s="1" t="s">
        <v>39</v>
      </c>
      <c r="E90" s="31">
        <v>1154.33</v>
      </c>
      <c r="F90" s="2">
        <v>11</v>
      </c>
      <c r="G90" s="2">
        <v>0.15</v>
      </c>
      <c r="H90" s="3">
        <v>45549</v>
      </c>
      <c r="I90" s="35">
        <v>441.53</v>
      </c>
      <c r="J90" s="13" t="str">
        <f t="shared" si="4"/>
        <v>Medium Discount</v>
      </c>
      <c r="K90" s="43">
        <f t="shared" ca="1" si="5"/>
        <v>46081.56108472222</v>
      </c>
      <c r="L90" s="42" t="str">
        <f>IF(Table1[Sales]&gt;1000,"High purchase","Normal purchase")</f>
        <v>High purchase</v>
      </c>
      <c r="M90" s="49">
        <f>Table1[[#This Row],[Profit]]/Table1[[#This Row],[Sales]]</f>
        <v>0.38249893877833896</v>
      </c>
    </row>
    <row r="91" spans="1:13" ht="15" thickBot="1" x14ac:dyDescent="0.35">
      <c r="A91" s="4" t="s">
        <v>49</v>
      </c>
      <c r="B91" s="1" t="s">
        <v>50</v>
      </c>
      <c r="C91" s="1" t="s">
        <v>20</v>
      </c>
      <c r="D91" s="1" t="s">
        <v>12</v>
      </c>
      <c r="E91" s="31">
        <v>1264.49</v>
      </c>
      <c r="F91" s="2">
        <v>16</v>
      </c>
      <c r="G91" s="2">
        <v>0.05</v>
      </c>
      <c r="H91" s="3">
        <v>45549</v>
      </c>
      <c r="I91" s="35">
        <v>480.51</v>
      </c>
      <c r="J91" s="13" t="str">
        <f t="shared" si="4"/>
        <v>Low Discount</v>
      </c>
      <c r="K91" s="43">
        <f t="shared" ca="1" si="5"/>
        <v>46081.56108472222</v>
      </c>
      <c r="L91" s="42" t="str">
        <f>IF(Table1[Sales]&gt;1000,"High purchase","Normal purchase")</f>
        <v>High purchase</v>
      </c>
      <c r="M91" s="49">
        <f>Table1[[#This Row],[Profit]]/Table1[[#This Row],[Sales]]</f>
        <v>0.38000300516413732</v>
      </c>
    </row>
    <row r="92" spans="1:13" ht="15" thickBot="1" x14ac:dyDescent="0.35">
      <c r="A92" s="4" t="s">
        <v>25</v>
      </c>
      <c r="B92" s="1" t="s">
        <v>66</v>
      </c>
      <c r="C92" s="1" t="s">
        <v>11</v>
      </c>
      <c r="D92" s="1" t="s">
        <v>27</v>
      </c>
      <c r="E92" s="31">
        <v>1101.55</v>
      </c>
      <c r="F92" s="2">
        <v>4</v>
      </c>
      <c r="G92" s="2">
        <v>0.1</v>
      </c>
      <c r="H92" s="3">
        <v>45551</v>
      </c>
      <c r="I92" s="35">
        <v>346.99</v>
      </c>
      <c r="J92" s="13" t="str">
        <f t="shared" si="4"/>
        <v>Low Discount</v>
      </c>
      <c r="K92" s="43">
        <f t="shared" ca="1" si="5"/>
        <v>46081.56108472222</v>
      </c>
      <c r="L92" s="42" t="str">
        <f>IF(Table1[Sales]&gt;1000,"High purchase","Normal purchase")</f>
        <v>High purchase</v>
      </c>
      <c r="M92" s="49">
        <f>Table1[[#This Row],[Profit]]/Table1[[#This Row],[Sales]]</f>
        <v>0.31500158867050976</v>
      </c>
    </row>
    <row r="93" spans="1:13" ht="15" thickBot="1" x14ac:dyDescent="0.35">
      <c r="A93" s="4" t="s">
        <v>73</v>
      </c>
      <c r="B93" s="1" t="s">
        <v>14</v>
      </c>
      <c r="C93" s="1" t="s">
        <v>20</v>
      </c>
      <c r="D93" s="1" t="s">
        <v>27</v>
      </c>
      <c r="E93" s="31">
        <v>727.73</v>
      </c>
      <c r="F93" s="2">
        <v>1</v>
      </c>
      <c r="G93" s="2">
        <v>0.1</v>
      </c>
      <c r="H93" s="3">
        <v>45552</v>
      </c>
      <c r="I93" s="35">
        <v>229.23</v>
      </c>
      <c r="J93" s="13" t="str">
        <f t="shared" si="4"/>
        <v>Low Discount</v>
      </c>
      <c r="K93" s="43">
        <f t="shared" ca="1" si="5"/>
        <v>46081.56108472222</v>
      </c>
      <c r="L93" s="42" t="str">
        <f>IF(Table1[Sales]&gt;1000,"High purchase","Normal purchase")</f>
        <v>Normal purchase</v>
      </c>
      <c r="M93" s="49">
        <f>Table1[[#This Row],[Profit]]/Table1[[#This Row],[Sales]]</f>
        <v>0.31499319802674064</v>
      </c>
    </row>
    <row r="94" spans="1:13" ht="15" thickBot="1" x14ac:dyDescent="0.35">
      <c r="A94" s="4" t="s">
        <v>74</v>
      </c>
      <c r="B94" s="1" t="s">
        <v>38</v>
      </c>
      <c r="C94" s="1" t="s">
        <v>18</v>
      </c>
      <c r="D94" s="1" t="s">
        <v>39</v>
      </c>
      <c r="E94" s="31">
        <v>875.41</v>
      </c>
      <c r="F94" s="2">
        <v>13</v>
      </c>
      <c r="G94" s="2">
        <v>0.15</v>
      </c>
      <c r="H94" s="3">
        <v>45552</v>
      </c>
      <c r="I94" s="35">
        <v>334.84</v>
      </c>
      <c r="J94" s="13" t="str">
        <f t="shared" si="4"/>
        <v>Medium Discount</v>
      </c>
      <c r="K94" s="43">
        <f t="shared" ca="1" si="5"/>
        <v>46081.56108472222</v>
      </c>
      <c r="L94" s="42" t="str">
        <f>IF(Table1[Sales]&gt;1000,"High purchase","Normal purchase")</f>
        <v>Normal purchase</v>
      </c>
      <c r="M94" s="49">
        <f>Table1[[#This Row],[Profit]]/Table1[[#This Row],[Sales]]</f>
        <v>0.382495059457854</v>
      </c>
    </row>
    <row r="95" spans="1:13" ht="15" thickBot="1" x14ac:dyDescent="0.35">
      <c r="A95" s="4" t="s">
        <v>67</v>
      </c>
      <c r="B95" s="1" t="s">
        <v>23</v>
      </c>
      <c r="C95" s="1" t="s">
        <v>11</v>
      </c>
      <c r="D95" s="1" t="s">
        <v>21</v>
      </c>
      <c r="E95" s="31">
        <v>1158.94</v>
      </c>
      <c r="F95" s="2">
        <v>19</v>
      </c>
      <c r="G95" s="2">
        <v>0.2</v>
      </c>
      <c r="H95" s="3">
        <v>45553</v>
      </c>
      <c r="I95" s="35">
        <v>231.79</v>
      </c>
      <c r="J95" s="13" t="str">
        <f t="shared" si="4"/>
        <v>High Discount</v>
      </c>
      <c r="K95" s="43">
        <f t="shared" ca="1" si="5"/>
        <v>46081.56108472222</v>
      </c>
      <c r="L95" s="42" t="str">
        <f>IF(Table1[Sales]&gt;1000,"High purchase","Normal purchase")</f>
        <v>High purchase</v>
      </c>
      <c r="M95" s="49">
        <f>Table1[[#This Row],[Profit]]/Table1[[#This Row],[Sales]]</f>
        <v>0.20000172571487737</v>
      </c>
    </row>
    <row r="96" spans="1:13" ht="15" thickBot="1" x14ac:dyDescent="0.35">
      <c r="A96" s="4" t="s">
        <v>75</v>
      </c>
      <c r="B96" s="1" t="s">
        <v>47</v>
      </c>
      <c r="C96" s="1" t="s">
        <v>20</v>
      </c>
      <c r="D96" s="1" t="s">
        <v>12</v>
      </c>
      <c r="E96" s="31">
        <v>966.3</v>
      </c>
      <c r="F96" s="2">
        <v>2</v>
      </c>
      <c r="G96" s="2">
        <v>0.15</v>
      </c>
      <c r="H96" s="3">
        <v>45557</v>
      </c>
      <c r="I96" s="35">
        <v>328.54</v>
      </c>
      <c r="J96" s="13" t="str">
        <f t="shared" si="4"/>
        <v>Medium Discount</v>
      </c>
      <c r="K96" s="43">
        <f t="shared" ca="1" si="5"/>
        <v>46081.56108472222</v>
      </c>
      <c r="L96" s="42" t="str">
        <f>IF(Table1[Sales]&gt;1000,"High purchase","Normal purchase")</f>
        <v>Normal purchase</v>
      </c>
      <c r="M96" s="49">
        <f>Table1[[#This Row],[Profit]]/Table1[[#This Row],[Sales]]</f>
        <v>0.339997930249405</v>
      </c>
    </row>
    <row r="97" spans="1:13" ht="15" thickBot="1" x14ac:dyDescent="0.35">
      <c r="A97" s="4" t="s">
        <v>68</v>
      </c>
      <c r="B97" s="1" t="s">
        <v>17</v>
      </c>
      <c r="C97" s="1" t="s">
        <v>20</v>
      </c>
      <c r="D97" s="1" t="s">
        <v>12</v>
      </c>
      <c r="E97" s="31">
        <v>917.48</v>
      </c>
      <c r="F97" s="2">
        <v>6</v>
      </c>
      <c r="G97" s="2">
        <v>0</v>
      </c>
      <c r="H97" s="3">
        <v>45558</v>
      </c>
      <c r="I97" s="35">
        <v>366.99</v>
      </c>
      <c r="J97" s="13" t="str">
        <f t="shared" si="4"/>
        <v>No Discount</v>
      </c>
      <c r="K97" s="43">
        <f t="shared" ca="1" si="5"/>
        <v>46081.56108472222</v>
      </c>
      <c r="L97" s="42" t="str">
        <f>IF(Table1[Sales]&gt;1000,"High purchase","Normal purchase")</f>
        <v>Normal purchase</v>
      </c>
      <c r="M97" s="49">
        <f>Table1[[#This Row],[Profit]]/Table1[[#This Row],[Sales]]</f>
        <v>0.39999782011596985</v>
      </c>
    </row>
    <row r="98" spans="1:13" ht="15" thickBot="1" x14ac:dyDescent="0.35">
      <c r="A98" s="4" t="s">
        <v>41</v>
      </c>
      <c r="B98" s="1" t="s">
        <v>61</v>
      </c>
      <c r="C98" s="1" t="s">
        <v>11</v>
      </c>
      <c r="D98" s="1" t="s">
        <v>27</v>
      </c>
      <c r="E98" s="31">
        <v>1172.97</v>
      </c>
      <c r="F98" s="2">
        <v>7</v>
      </c>
      <c r="G98" s="2">
        <v>0.15</v>
      </c>
      <c r="H98" s="3">
        <v>45559</v>
      </c>
      <c r="I98" s="35">
        <v>348.96</v>
      </c>
      <c r="J98" s="13" t="str">
        <f t="shared" ref="J98:J129" si="6">_xlfn.IFS(G98=0,"No Discount", G98&lt;=0.1,"Low Discount",G98&lt;=0.15,"Medium Discount",G98&gt;0.15,"High Discount")</f>
        <v>Medium Discount</v>
      </c>
      <c r="K98" s="43">
        <f t="shared" ref="K98:K129" ca="1" si="7">NOW()</f>
        <v>46081.56108472222</v>
      </c>
      <c r="L98" s="42" t="str">
        <f>IF(Table1[Sales]&gt;1000,"High purchase","Normal purchase")</f>
        <v>High purchase</v>
      </c>
      <c r="M98" s="49">
        <f>Table1[[#This Row],[Profit]]/Table1[[#This Row],[Sales]]</f>
        <v>0.29750121486483028</v>
      </c>
    </row>
    <row r="99" spans="1:13" ht="15" thickBot="1" x14ac:dyDescent="0.35">
      <c r="A99" s="4" t="s">
        <v>57</v>
      </c>
      <c r="B99" s="1" t="s">
        <v>23</v>
      </c>
      <c r="C99" s="1" t="s">
        <v>24</v>
      </c>
      <c r="D99" s="1" t="s">
        <v>15</v>
      </c>
      <c r="E99" s="31">
        <v>1205.82</v>
      </c>
      <c r="F99" s="2">
        <v>11</v>
      </c>
      <c r="G99" s="2">
        <v>0.1</v>
      </c>
      <c r="H99" s="3">
        <v>45559</v>
      </c>
      <c r="I99" s="35">
        <v>542.62</v>
      </c>
      <c r="J99" s="13" t="str">
        <f t="shared" si="6"/>
        <v>Low Discount</v>
      </c>
      <c r="K99" s="43">
        <f t="shared" ca="1" si="7"/>
        <v>46081.56108472222</v>
      </c>
      <c r="L99" s="42" t="str">
        <f>IF(Table1[Sales]&gt;1000,"High purchase","Normal purchase")</f>
        <v>High purchase</v>
      </c>
      <c r="M99" s="49">
        <f>Table1[[#This Row],[Profit]]/Table1[[#This Row],[Sales]]</f>
        <v>0.45000082931117419</v>
      </c>
    </row>
    <row r="100" spans="1:13" ht="15" thickBot="1" x14ac:dyDescent="0.35">
      <c r="A100" s="4" t="s">
        <v>16</v>
      </c>
      <c r="B100" s="1" t="s">
        <v>64</v>
      </c>
      <c r="C100" s="1" t="s">
        <v>11</v>
      </c>
      <c r="D100" s="1" t="s">
        <v>39</v>
      </c>
      <c r="E100" s="31">
        <v>826.93</v>
      </c>
      <c r="F100" s="2">
        <v>10</v>
      </c>
      <c r="G100" s="2">
        <v>0.2</v>
      </c>
      <c r="H100" s="3">
        <v>45564</v>
      </c>
      <c r="I100" s="35">
        <v>297.69</v>
      </c>
      <c r="J100" s="13" t="str">
        <f t="shared" si="6"/>
        <v>High Discount</v>
      </c>
      <c r="K100" s="43">
        <f t="shared" ca="1" si="7"/>
        <v>46081.56108472222</v>
      </c>
      <c r="L100" s="42" t="str">
        <f>IF(Table1[Sales]&gt;1000,"High purchase","Normal purchase")</f>
        <v>Normal purchase</v>
      </c>
      <c r="M100" s="49">
        <f>Table1[[#This Row],[Profit]]/Table1[[#This Row],[Sales]]</f>
        <v>0.35999419539743388</v>
      </c>
    </row>
    <row r="101" spans="1:13" ht="15" thickBot="1" x14ac:dyDescent="0.35">
      <c r="A101" s="4" t="s">
        <v>67</v>
      </c>
      <c r="B101" s="1" t="s">
        <v>23</v>
      </c>
      <c r="C101" s="1" t="s">
        <v>34</v>
      </c>
      <c r="D101" s="1" t="s">
        <v>15</v>
      </c>
      <c r="E101" s="31">
        <v>902.19</v>
      </c>
      <c r="F101" s="2">
        <v>12</v>
      </c>
      <c r="G101" s="2">
        <v>0</v>
      </c>
      <c r="H101" s="3">
        <v>45564</v>
      </c>
      <c r="I101" s="35">
        <v>451.1</v>
      </c>
      <c r="J101" s="13" t="str">
        <f t="shared" si="6"/>
        <v>No Discount</v>
      </c>
      <c r="K101" s="43">
        <f t="shared" ca="1" si="7"/>
        <v>46081.56108472222</v>
      </c>
      <c r="L101" s="42" t="str">
        <f>IF(Table1[Sales]&gt;1000,"High purchase","Normal purchase")</f>
        <v>Normal purchase</v>
      </c>
      <c r="M101" s="49">
        <f>Table1[[#This Row],[Profit]]/Table1[[#This Row],[Sales]]</f>
        <v>0.50000554206985226</v>
      </c>
    </row>
    <row r="102" spans="1:13" ht="15" thickBot="1" x14ac:dyDescent="0.35">
      <c r="A102" s="4" t="s">
        <v>74</v>
      </c>
      <c r="B102" s="1" t="s">
        <v>38</v>
      </c>
      <c r="C102" s="1" t="s">
        <v>24</v>
      </c>
      <c r="D102" s="1" t="s">
        <v>12</v>
      </c>
      <c r="E102" s="31">
        <v>585.97</v>
      </c>
      <c r="F102" s="2">
        <v>17</v>
      </c>
      <c r="G102" s="2">
        <v>0.1</v>
      </c>
      <c r="H102" s="3">
        <v>45565</v>
      </c>
      <c r="I102" s="35">
        <v>210.95</v>
      </c>
      <c r="J102" s="13" t="str">
        <f t="shared" si="6"/>
        <v>Low Discount</v>
      </c>
      <c r="K102" s="43">
        <f t="shared" ca="1" si="7"/>
        <v>46081.56108472222</v>
      </c>
      <c r="L102" s="42" t="str">
        <f>IF(Table1[Sales]&gt;1000,"High purchase","Normal purchase")</f>
        <v>Normal purchase</v>
      </c>
      <c r="M102" s="49">
        <f>Table1[[#This Row],[Profit]]/Table1[[#This Row],[Sales]]</f>
        <v>0.36000136525760701</v>
      </c>
    </row>
    <row r="103" spans="1:13" ht="15" thickBot="1" x14ac:dyDescent="0.35">
      <c r="A103" s="4" t="s">
        <v>60</v>
      </c>
      <c r="B103" s="1" t="s">
        <v>26</v>
      </c>
      <c r="C103" s="1" t="s">
        <v>24</v>
      </c>
      <c r="D103" s="1" t="s">
        <v>15</v>
      </c>
      <c r="E103" s="31">
        <v>990.19</v>
      </c>
      <c r="F103" s="2">
        <v>8</v>
      </c>
      <c r="G103" s="2">
        <v>0.1</v>
      </c>
      <c r="H103" s="3">
        <v>45565</v>
      </c>
      <c r="I103" s="35">
        <v>445.59</v>
      </c>
      <c r="J103" s="13" t="str">
        <f t="shared" si="6"/>
        <v>Low Discount</v>
      </c>
      <c r="K103" s="43">
        <f t="shared" ca="1" si="7"/>
        <v>46081.56108472222</v>
      </c>
      <c r="L103" s="42" t="str">
        <f>IF(Table1[Sales]&gt;1000,"High purchase","Normal purchase")</f>
        <v>Normal purchase</v>
      </c>
      <c r="M103" s="49">
        <f>Table1[[#This Row],[Profit]]/Table1[[#This Row],[Sales]]</f>
        <v>0.45000454458235284</v>
      </c>
    </row>
    <row r="104" spans="1:13" ht="15" thickBot="1" x14ac:dyDescent="0.35">
      <c r="A104" s="4" t="s">
        <v>44</v>
      </c>
      <c r="B104" s="1" t="s">
        <v>56</v>
      </c>
      <c r="C104" s="1" t="s">
        <v>34</v>
      </c>
      <c r="D104" s="1" t="s">
        <v>21</v>
      </c>
      <c r="E104" s="31">
        <v>1014.09</v>
      </c>
      <c r="F104" s="2">
        <v>13</v>
      </c>
      <c r="G104" s="2">
        <v>0.2</v>
      </c>
      <c r="H104" s="3">
        <v>45567</v>
      </c>
      <c r="I104" s="35">
        <v>202.82</v>
      </c>
      <c r="J104" s="13" t="str">
        <f t="shared" si="6"/>
        <v>High Discount</v>
      </c>
      <c r="K104" s="43">
        <f t="shared" ca="1" si="7"/>
        <v>46081.56108472222</v>
      </c>
      <c r="L104" s="42" t="str">
        <f>IF(Table1[Sales]&gt;1000,"High purchase","Normal purchase")</f>
        <v>High purchase</v>
      </c>
      <c r="M104" s="49">
        <f>Table1[[#This Row],[Profit]]/Table1[[#This Row],[Sales]]</f>
        <v>0.2000019722115394</v>
      </c>
    </row>
    <row r="105" spans="1:13" ht="15" thickBot="1" x14ac:dyDescent="0.35">
      <c r="A105" s="4" t="s">
        <v>13</v>
      </c>
      <c r="B105" s="1" t="s">
        <v>48</v>
      </c>
      <c r="C105" s="1" t="s">
        <v>24</v>
      </c>
      <c r="D105" s="1" t="s">
        <v>21</v>
      </c>
      <c r="E105" s="31">
        <v>925.29</v>
      </c>
      <c r="F105" s="2">
        <v>17</v>
      </c>
      <c r="G105" s="2">
        <v>0</v>
      </c>
      <c r="H105" s="3">
        <v>45570</v>
      </c>
      <c r="I105" s="35">
        <v>231.32</v>
      </c>
      <c r="J105" s="13" t="str">
        <f t="shared" si="6"/>
        <v>No Discount</v>
      </c>
      <c r="K105" s="43">
        <f t="shared" ca="1" si="7"/>
        <v>46081.56108472222</v>
      </c>
      <c r="L105" s="42" t="str">
        <f>IF(Table1[Sales]&gt;1000,"High purchase","Normal purchase")</f>
        <v>Normal purchase</v>
      </c>
      <c r="M105" s="49">
        <f>Table1[[#This Row],[Profit]]/Table1[[#This Row],[Sales]]</f>
        <v>0.24999729814436555</v>
      </c>
    </row>
    <row r="106" spans="1:13" ht="15" thickBot="1" x14ac:dyDescent="0.35">
      <c r="A106" s="4" t="s">
        <v>54</v>
      </c>
      <c r="B106" s="1" t="s">
        <v>47</v>
      </c>
      <c r="C106" s="1" t="s">
        <v>18</v>
      </c>
      <c r="D106" s="1" t="s">
        <v>27</v>
      </c>
      <c r="E106" s="31">
        <v>1286.54</v>
      </c>
      <c r="F106" s="2">
        <v>8</v>
      </c>
      <c r="G106" s="2">
        <v>0</v>
      </c>
      <c r="H106" s="3">
        <v>45575</v>
      </c>
      <c r="I106" s="35">
        <v>450.29</v>
      </c>
      <c r="J106" s="13" t="str">
        <f t="shared" si="6"/>
        <v>No Discount</v>
      </c>
      <c r="K106" s="43">
        <f t="shared" ca="1" si="7"/>
        <v>46081.56108472222</v>
      </c>
      <c r="L106" s="42" t="str">
        <f>IF(Table1[Sales]&gt;1000,"High purchase","Normal purchase")</f>
        <v>High purchase</v>
      </c>
      <c r="M106" s="49">
        <f>Table1[[#This Row],[Profit]]/Table1[[#This Row],[Sales]]</f>
        <v>0.35000077727859225</v>
      </c>
    </row>
    <row r="107" spans="1:13" ht="15" thickBot="1" x14ac:dyDescent="0.35">
      <c r="A107" s="4" t="s">
        <v>37</v>
      </c>
      <c r="B107" s="1" t="s">
        <v>64</v>
      </c>
      <c r="C107" s="1" t="s">
        <v>20</v>
      </c>
      <c r="D107" s="1" t="s">
        <v>12</v>
      </c>
      <c r="E107" s="31">
        <v>961.62</v>
      </c>
      <c r="F107" s="2">
        <v>8</v>
      </c>
      <c r="G107" s="2">
        <v>0.2</v>
      </c>
      <c r="H107" s="3">
        <v>45577</v>
      </c>
      <c r="I107" s="35">
        <v>307.72000000000003</v>
      </c>
      <c r="J107" s="13" t="str">
        <f t="shared" si="6"/>
        <v>High Discount</v>
      </c>
      <c r="K107" s="43">
        <f t="shared" ca="1" si="7"/>
        <v>46081.56108472222</v>
      </c>
      <c r="L107" s="42" t="str">
        <f>IF(Table1[Sales]&gt;1000,"High purchase","Normal purchase")</f>
        <v>Normal purchase</v>
      </c>
      <c r="M107" s="49">
        <f>Table1[[#This Row],[Profit]]/Table1[[#This Row],[Sales]]</f>
        <v>0.32000166385890477</v>
      </c>
    </row>
    <row r="108" spans="1:13" ht="15" thickBot="1" x14ac:dyDescent="0.35">
      <c r="A108" s="4" t="s">
        <v>44</v>
      </c>
      <c r="B108" s="1" t="s">
        <v>23</v>
      </c>
      <c r="C108" s="1" t="s">
        <v>18</v>
      </c>
      <c r="D108" s="1" t="s">
        <v>12</v>
      </c>
      <c r="E108" s="31">
        <v>1081.1400000000001</v>
      </c>
      <c r="F108" s="2">
        <v>19</v>
      </c>
      <c r="G108" s="2">
        <v>0.15</v>
      </c>
      <c r="H108" s="3">
        <v>45577</v>
      </c>
      <c r="I108" s="35">
        <v>367.59</v>
      </c>
      <c r="J108" s="13" t="str">
        <f t="shared" si="6"/>
        <v>Medium Discount</v>
      </c>
      <c r="K108" s="43">
        <f t="shared" ca="1" si="7"/>
        <v>46081.56108472222</v>
      </c>
      <c r="L108" s="42" t="str">
        <f>IF(Table1[Sales]&gt;1000,"High purchase","Normal purchase")</f>
        <v>High purchase</v>
      </c>
      <c r="M108" s="49">
        <f>Table1[[#This Row],[Profit]]/Table1[[#This Row],[Sales]]</f>
        <v>0.34000221987901652</v>
      </c>
    </row>
    <row r="109" spans="1:13" ht="15" thickBot="1" x14ac:dyDescent="0.35">
      <c r="A109" s="4" t="s">
        <v>58</v>
      </c>
      <c r="B109" s="1" t="s">
        <v>23</v>
      </c>
      <c r="C109" s="1" t="s">
        <v>11</v>
      </c>
      <c r="D109" s="1" t="s">
        <v>15</v>
      </c>
      <c r="E109" s="31">
        <v>1923.66</v>
      </c>
      <c r="F109" s="2">
        <v>9</v>
      </c>
      <c r="G109" s="2">
        <v>0.2</v>
      </c>
      <c r="H109" s="3">
        <v>45580</v>
      </c>
      <c r="I109" s="35">
        <v>769.46</v>
      </c>
      <c r="J109" s="13" t="str">
        <f t="shared" si="6"/>
        <v>High Discount</v>
      </c>
      <c r="K109" s="43">
        <f t="shared" ca="1" si="7"/>
        <v>46081.56108472222</v>
      </c>
      <c r="L109" s="42" t="str">
        <f>IF(Table1[Sales]&gt;1000,"High purchase","Normal purchase")</f>
        <v>High purchase</v>
      </c>
      <c r="M109" s="49">
        <f>Table1[[#This Row],[Profit]]/Table1[[#This Row],[Sales]]</f>
        <v>0.39999792063046485</v>
      </c>
    </row>
    <row r="110" spans="1:13" ht="15" thickBot="1" x14ac:dyDescent="0.35">
      <c r="A110" s="4" t="s">
        <v>54</v>
      </c>
      <c r="B110" s="1" t="s">
        <v>66</v>
      </c>
      <c r="C110" s="1" t="s">
        <v>34</v>
      </c>
      <c r="D110" s="1" t="s">
        <v>15</v>
      </c>
      <c r="E110" s="31">
        <v>728.71</v>
      </c>
      <c r="F110" s="2">
        <v>14</v>
      </c>
      <c r="G110" s="2">
        <v>0.1</v>
      </c>
      <c r="H110" s="3">
        <v>45581</v>
      </c>
      <c r="I110" s="35">
        <v>327.92</v>
      </c>
      <c r="J110" s="13" t="str">
        <f t="shared" si="6"/>
        <v>Low Discount</v>
      </c>
      <c r="K110" s="43">
        <f t="shared" ca="1" si="7"/>
        <v>46081.56108472222</v>
      </c>
      <c r="L110" s="42" t="str">
        <f>IF(Table1[Sales]&gt;1000,"High purchase","Normal purchase")</f>
        <v>Normal purchase</v>
      </c>
      <c r="M110" s="49">
        <f>Table1[[#This Row],[Profit]]/Table1[[#This Row],[Sales]]</f>
        <v>0.4500006861440079</v>
      </c>
    </row>
    <row r="111" spans="1:13" ht="15" thickBot="1" x14ac:dyDescent="0.35">
      <c r="A111" s="4" t="s">
        <v>9</v>
      </c>
      <c r="B111" s="1" t="s">
        <v>33</v>
      </c>
      <c r="C111" s="1" t="s">
        <v>34</v>
      </c>
      <c r="D111" s="1" t="s">
        <v>15</v>
      </c>
      <c r="E111" s="31">
        <v>1301.8900000000001</v>
      </c>
      <c r="F111" s="2">
        <v>7</v>
      </c>
      <c r="G111" s="2">
        <v>0.15</v>
      </c>
      <c r="H111" s="3">
        <v>45581</v>
      </c>
      <c r="I111" s="35">
        <v>553.29999999999995</v>
      </c>
      <c r="J111" s="13" t="str">
        <f t="shared" si="6"/>
        <v>Medium Discount</v>
      </c>
      <c r="K111" s="43">
        <f t="shared" ca="1" si="7"/>
        <v>46081.56108472222</v>
      </c>
      <c r="L111" s="42" t="str">
        <f>IF(Table1[Sales]&gt;1000,"High purchase","Normal purchase")</f>
        <v>High purchase</v>
      </c>
      <c r="M111" s="49">
        <f>Table1[[#This Row],[Profit]]/Table1[[#This Row],[Sales]]</f>
        <v>0.4249975036293388</v>
      </c>
    </row>
    <row r="112" spans="1:13" ht="15" thickBot="1" x14ac:dyDescent="0.35">
      <c r="A112" s="4" t="s">
        <v>70</v>
      </c>
      <c r="B112" s="1" t="s">
        <v>66</v>
      </c>
      <c r="C112" s="1" t="s">
        <v>18</v>
      </c>
      <c r="D112" s="1" t="s">
        <v>12</v>
      </c>
      <c r="E112" s="31">
        <v>980.18</v>
      </c>
      <c r="F112" s="2">
        <v>16</v>
      </c>
      <c r="G112" s="2">
        <v>0.1</v>
      </c>
      <c r="H112" s="3">
        <v>45582</v>
      </c>
      <c r="I112" s="35">
        <v>352.86</v>
      </c>
      <c r="J112" s="13" t="str">
        <f t="shared" si="6"/>
        <v>Low Discount</v>
      </c>
      <c r="K112" s="43">
        <f t="shared" ca="1" si="7"/>
        <v>46081.56108472222</v>
      </c>
      <c r="L112" s="42" t="str">
        <f>IF(Table1[Sales]&gt;1000,"High purchase","Normal purchase")</f>
        <v>Normal purchase</v>
      </c>
      <c r="M112" s="49">
        <f>Table1[[#This Row],[Profit]]/Table1[[#This Row],[Sales]]</f>
        <v>0.35999510294027631</v>
      </c>
    </row>
    <row r="113" spans="1:13" ht="15" thickBot="1" x14ac:dyDescent="0.35">
      <c r="A113" s="4" t="s">
        <v>74</v>
      </c>
      <c r="B113" s="1" t="s">
        <v>23</v>
      </c>
      <c r="C113" s="1" t="s">
        <v>11</v>
      </c>
      <c r="D113" s="1" t="s">
        <v>15</v>
      </c>
      <c r="E113" s="31">
        <v>697.57</v>
      </c>
      <c r="F113" s="2">
        <v>17</v>
      </c>
      <c r="G113" s="2">
        <v>0.1</v>
      </c>
      <c r="H113" s="3">
        <v>45584</v>
      </c>
      <c r="I113" s="35">
        <v>313.91000000000003</v>
      </c>
      <c r="J113" s="13" t="str">
        <f t="shared" si="6"/>
        <v>Low Discount</v>
      </c>
      <c r="K113" s="43">
        <f t="shared" ca="1" si="7"/>
        <v>46081.56108472222</v>
      </c>
      <c r="L113" s="42" t="str">
        <f>IF(Table1[Sales]&gt;1000,"High purchase","Normal purchase")</f>
        <v>Normal purchase</v>
      </c>
      <c r="M113" s="49">
        <f>Table1[[#This Row],[Profit]]/Table1[[#This Row],[Sales]]</f>
        <v>0.45000501741760685</v>
      </c>
    </row>
    <row r="114" spans="1:13" ht="15" thickBot="1" x14ac:dyDescent="0.35">
      <c r="A114" s="4" t="s">
        <v>46</v>
      </c>
      <c r="B114" s="1" t="s">
        <v>71</v>
      </c>
      <c r="C114" s="1" t="s">
        <v>11</v>
      </c>
      <c r="D114" s="1" t="s">
        <v>27</v>
      </c>
      <c r="E114" s="31">
        <v>1193.6099999999999</v>
      </c>
      <c r="F114" s="2">
        <v>1</v>
      </c>
      <c r="G114" s="2">
        <v>0.15</v>
      </c>
      <c r="H114" s="3">
        <v>45584</v>
      </c>
      <c r="I114" s="35">
        <v>355.1</v>
      </c>
      <c r="J114" s="13" t="str">
        <f t="shared" si="6"/>
        <v>Medium Discount</v>
      </c>
      <c r="K114" s="43">
        <f t="shared" ca="1" si="7"/>
        <v>46081.56108472222</v>
      </c>
      <c r="L114" s="42" t="str">
        <f>IF(Table1[Sales]&gt;1000,"High purchase","Normal purchase")</f>
        <v>High purchase</v>
      </c>
      <c r="M114" s="49">
        <f>Table1[[#This Row],[Profit]]/Table1[[#This Row],[Sales]]</f>
        <v>0.29750085873945431</v>
      </c>
    </row>
    <row r="115" spans="1:13" ht="15" thickBot="1" x14ac:dyDescent="0.35">
      <c r="A115" s="4" t="s">
        <v>32</v>
      </c>
      <c r="B115" s="1" t="s">
        <v>38</v>
      </c>
      <c r="C115" s="1" t="s">
        <v>20</v>
      </c>
      <c r="D115" s="1" t="s">
        <v>21</v>
      </c>
      <c r="E115" s="31">
        <v>771.02</v>
      </c>
      <c r="F115" s="2">
        <v>1</v>
      </c>
      <c r="G115" s="2">
        <v>0</v>
      </c>
      <c r="H115" s="3">
        <v>45585</v>
      </c>
      <c r="I115" s="35">
        <v>192.76</v>
      </c>
      <c r="J115" s="13" t="str">
        <f t="shared" si="6"/>
        <v>No Discount</v>
      </c>
      <c r="K115" s="43">
        <f t="shared" ca="1" si="7"/>
        <v>46081.56108472222</v>
      </c>
      <c r="L115" s="42" t="str">
        <f>IF(Table1[Sales]&gt;1000,"High purchase","Normal purchase")</f>
        <v>Normal purchase</v>
      </c>
      <c r="M115" s="49">
        <f>Table1[[#This Row],[Profit]]/Table1[[#This Row],[Sales]]</f>
        <v>0.25000648491608518</v>
      </c>
    </row>
    <row r="116" spans="1:13" ht="15" thickBot="1" x14ac:dyDescent="0.35">
      <c r="A116" s="4" t="s">
        <v>67</v>
      </c>
      <c r="B116" s="1" t="s">
        <v>69</v>
      </c>
      <c r="C116" s="1" t="s">
        <v>24</v>
      </c>
      <c r="D116" s="1" t="s">
        <v>15</v>
      </c>
      <c r="E116" s="31">
        <v>661.09</v>
      </c>
      <c r="F116" s="2">
        <v>1</v>
      </c>
      <c r="G116" s="2">
        <v>0.2</v>
      </c>
      <c r="H116" s="3">
        <v>45593</v>
      </c>
      <c r="I116" s="35">
        <v>264.44</v>
      </c>
      <c r="J116" s="13" t="str">
        <f t="shared" si="6"/>
        <v>High Discount</v>
      </c>
      <c r="K116" s="43">
        <f t="shared" ca="1" si="7"/>
        <v>46081.56108472222</v>
      </c>
      <c r="L116" s="42" t="str">
        <f>IF(Table1[Sales]&gt;1000,"High purchase","Normal purchase")</f>
        <v>Normal purchase</v>
      </c>
      <c r="M116" s="49">
        <f>Table1[[#This Row],[Profit]]/Table1[[#This Row],[Sales]]</f>
        <v>0.4000060506133809</v>
      </c>
    </row>
    <row r="117" spans="1:13" ht="15" thickBot="1" x14ac:dyDescent="0.35">
      <c r="A117" s="4" t="s">
        <v>13</v>
      </c>
      <c r="B117" s="1" t="s">
        <v>55</v>
      </c>
      <c r="C117" s="1" t="s">
        <v>11</v>
      </c>
      <c r="D117" s="1" t="s">
        <v>21</v>
      </c>
      <c r="E117" s="31">
        <v>688.83</v>
      </c>
      <c r="F117" s="2">
        <v>15</v>
      </c>
      <c r="G117" s="2">
        <v>0</v>
      </c>
      <c r="H117" s="3">
        <v>45595</v>
      </c>
      <c r="I117" s="35">
        <v>172.21</v>
      </c>
      <c r="J117" s="13" t="str">
        <f t="shared" si="6"/>
        <v>No Discount</v>
      </c>
      <c r="K117" s="43">
        <f t="shared" ca="1" si="7"/>
        <v>46081.56108472222</v>
      </c>
      <c r="L117" s="42" t="str">
        <f>IF(Table1[Sales]&gt;1000,"High purchase","Normal purchase")</f>
        <v>Normal purchase</v>
      </c>
      <c r="M117" s="49">
        <f>Table1[[#This Row],[Profit]]/Table1[[#This Row],[Sales]]</f>
        <v>0.2500036293425083</v>
      </c>
    </row>
    <row r="118" spans="1:13" ht="15" thickBot="1" x14ac:dyDescent="0.35">
      <c r="A118" s="4" t="s">
        <v>73</v>
      </c>
      <c r="B118" s="1" t="s">
        <v>29</v>
      </c>
      <c r="C118" s="1" t="s">
        <v>34</v>
      </c>
      <c r="D118" s="1" t="s">
        <v>12</v>
      </c>
      <c r="E118" s="31">
        <v>1249.0999999999999</v>
      </c>
      <c r="F118" s="2">
        <v>4</v>
      </c>
      <c r="G118" s="2">
        <v>0.05</v>
      </c>
      <c r="H118" s="3">
        <v>45597</v>
      </c>
      <c r="I118" s="35">
        <v>474.66</v>
      </c>
      <c r="J118" s="13" t="str">
        <f t="shared" si="6"/>
        <v>Low Discount</v>
      </c>
      <c r="K118" s="43">
        <f t="shared" ca="1" si="7"/>
        <v>46081.56108472222</v>
      </c>
      <c r="L118" s="42" t="str">
        <f>IF(Table1[Sales]&gt;1000,"High purchase","Normal purchase")</f>
        <v>High purchase</v>
      </c>
      <c r="M118" s="49">
        <f>Table1[[#This Row],[Profit]]/Table1[[#This Row],[Sales]]</f>
        <v>0.3800016011528301</v>
      </c>
    </row>
    <row r="119" spans="1:13" ht="15" thickBot="1" x14ac:dyDescent="0.35">
      <c r="A119" s="4" t="s">
        <v>44</v>
      </c>
      <c r="B119" s="1" t="s">
        <v>23</v>
      </c>
      <c r="C119" s="1" t="s">
        <v>18</v>
      </c>
      <c r="D119" s="1" t="s">
        <v>39</v>
      </c>
      <c r="E119" s="31">
        <v>1014.22</v>
      </c>
      <c r="F119" s="2">
        <v>14</v>
      </c>
      <c r="G119" s="2">
        <v>0.05</v>
      </c>
      <c r="H119" s="3">
        <v>45599</v>
      </c>
      <c r="I119" s="35">
        <v>433.58</v>
      </c>
      <c r="J119" s="13" t="str">
        <f t="shared" si="6"/>
        <v>Low Discount</v>
      </c>
      <c r="K119" s="43">
        <f t="shared" ca="1" si="7"/>
        <v>46081.56108472222</v>
      </c>
      <c r="L119" s="42" t="str">
        <f>IF(Table1[Sales]&gt;1000,"High purchase","Normal purchase")</f>
        <v>High purchase</v>
      </c>
      <c r="M119" s="49">
        <f>Table1[[#This Row],[Profit]]/Table1[[#This Row],[Sales]]</f>
        <v>0.42750093668040462</v>
      </c>
    </row>
    <row r="120" spans="1:13" ht="15" thickBot="1" x14ac:dyDescent="0.35">
      <c r="A120" s="4" t="s">
        <v>54</v>
      </c>
      <c r="B120" s="1" t="s">
        <v>48</v>
      </c>
      <c r="C120" s="1" t="s">
        <v>18</v>
      </c>
      <c r="D120" s="1" t="s">
        <v>12</v>
      </c>
      <c r="E120" s="31">
        <v>1010.58</v>
      </c>
      <c r="F120" s="2">
        <v>2</v>
      </c>
      <c r="G120" s="2">
        <v>0.15</v>
      </c>
      <c r="H120" s="3">
        <v>45605</v>
      </c>
      <c r="I120" s="35">
        <v>343.6</v>
      </c>
      <c r="J120" s="13" t="str">
        <f t="shared" si="6"/>
        <v>Medium Discount</v>
      </c>
      <c r="K120" s="43">
        <f t="shared" ca="1" si="7"/>
        <v>46081.56108472222</v>
      </c>
      <c r="L120" s="42" t="str">
        <f>IF(Table1[Sales]&gt;1000,"High purchase","Normal purchase")</f>
        <v>High purchase</v>
      </c>
      <c r="M120" s="49">
        <f>Table1[[#This Row],[Profit]]/Table1[[#This Row],[Sales]]</f>
        <v>0.34000277068614065</v>
      </c>
    </row>
    <row r="121" spans="1:13" ht="15" thickBot="1" x14ac:dyDescent="0.35">
      <c r="A121" s="4" t="s">
        <v>30</v>
      </c>
      <c r="B121" s="1" t="s">
        <v>59</v>
      </c>
      <c r="C121" s="1" t="s">
        <v>24</v>
      </c>
      <c r="D121" s="1" t="s">
        <v>27</v>
      </c>
      <c r="E121" s="31">
        <v>957.29</v>
      </c>
      <c r="F121" s="2">
        <v>4</v>
      </c>
      <c r="G121" s="2">
        <v>0.05</v>
      </c>
      <c r="H121" s="3">
        <v>45605</v>
      </c>
      <c r="I121" s="35">
        <v>318.3</v>
      </c>
      <c r="J121" s="13" t="str">
        <f t="shared" si="6"/>
        <v>Low Discount</v>
      </c>
      <c r="K121" s="43">
        <f t="shared" ca="1" si="7"/>
        <v>46081.56108472222</v>
      </c>
      <c r="L121" s="42" t="str">
        <f>IF(Table1[Sales]&gt;1000,"High purchase","Normal purchase")</f>
        <v>Normal purchase</v>
      </c>
      <c r="M121" s="49">
        <f>Table1[[#This Row],[Profit]]/Table1[[#This Row],[Sales]]</f>
        <v>0.33250112296169398</v>
      </c>
    </row>
    <row r="122" spans="1:13" ht="15" thickBot="1" x14ac:dyDescent="0.35">
      <c r="A122" s="4" t="s">
        <v>28</v>
      </c>
      <c r="B122" s="1" t="s">
        <v>45</v>
      </c>
      <c r="C122" s="1" t="s">
        <v>24</v>
      </c>
      <c r="D122" s="1" t="s">
        <v>27</v>
      </c>
      <c r="E122" s="31">
        <v>1077.92</v>
      </c>
      <c r="F122" s="2">
        <v>3</v>
      </c>
      <c r="G122" s="2">
        <v>0.05</v>
      </c>
      <c r="H122" s="3">
        <v>45608</v>
      </c>
      <c r="I122" s="35">
        <v>358.41</v>
      </c>
      <c r="J122" s="13" t="str">
        <f t="shared" si="6"/>
        <v>Low Discount</v>
      </c>
      <c r="K122" s="43">
        <f t="shared" ca="1" si="7"/>
        <v>46081.56108472222</v>
      </c>
      <c r="L122" s="42" t="str">
        <f>IF(Table1[Sales]&gt;1000,"High purchase","Normal purchase")</f>
        <v>High purchase</v>
      </c>
      <c r="M122" s="49">
        <f>Table1[[#This Row],[Profit]]/Table1[[#This Row],[Sales]]</f>
        <v>0.33250148434021076</v>
      </c>
    </row>
    <row r="123" spans="1:13" ht="15" thickBot="1" x14ac:dyDescent="0.35">
      <c r="A123" s="4" t="s">
        <v>52</v>
      </c>
      <c r="B123" s="1" t="s">
        <v>50</v>
      </c>
      <c r="C123" s="1" t="s">
        <v>20</v>
      </c>
      <c r="D123" s="1" t="s">
        <v>15</v>
      </c>
      <c r="E123" s="31">
        <v>1163.01</v>
      </c>
      <c r="F123" s="2">
        <v>5</v>
      </c>
      <c r="G123" s="2">
        <v>0</v>
      </c>
      <c r="H123" s="3">
        <v>45611</v>
      </c>
      <c r="I123" s="35">
        <v>581.5</v>
      </c>
      <c r="J123" s="13" t="str">
        <f t="shared" si="6"/>
        <v>No Discount</v>
      </c>
      <c r="K123" s="43">
        <f t="shared" ca="1" si="7"/>
        <v>46081.56108472222</v>
      </c>
      <c r="L123" s="42" t="str">
        <f>IF(Table1[Sales]&gt;1000,"High purchase","Normal purchase")</f>
        <v>High purchase</v>
      </c>
      <c r="M123" s="49">
        <f>Table1[[#This Row],[Profit]]/Table1[[#This Row],[Sales]]</f>
        <v>0.49999570081082706</v>
      </c>
    </row>
    <row r="124" spans="1:13" ht="15" thickBot="1" x14ac:dyDescent="0.35">
      <c r="A124" s="4" t="s">
        <v>54</v>
      </c>
      <c r="B124" s="1" t="s">
        <v>45</v>
      </c>
      <c r="C124" s="1" t="s">
        <v>18</v>
      </c>
      <c r="D124" s="1" t="s">
        <v>39</v>
      </c>
      <c r="E124" s="31">
        <v>1014.56</v>
      </c>
      <c r="F124" s="2">
        <v>10</v>
      </c>
      <c r="G124" s="2">
        <v>0.1</v>
      </c>
      <c r="H124" s="3">
        <v>45612</v>
      </c>
      <c r="I124" s="35">
        <v>410.9</v>
      </c>
      <c r="J124" s="13" t="str">
        <f t="shared" si="6"/>
        <v>Low Discount</v>
      </c>
      <c r="K124" s="43">
        <f t="shared" ca="1" si="7"/>
        <v>46081.56108472222</v>
      </c>
      <c r="L124" s="42" t="str">
        <f>IF(Table1[Sales]&gt;1000,"High purchase","Normal purchase")</f>
        <v>High purchase</v>
      </c>
      <c r="M124" s="49">
        <f>Table1[[#This Row],[Profit]]/Table1[[#This Row],[Sales]]</f>
        <v>0.40500315407664406</v>
      </c>
    </row>
    <row r="125" spans="1:13" ht="15" thickBot="1" x14ac:dyDescent="0.35">
      <c r="A125" s="4" t="s">
        <v>9</v>
      </c>
      <c r="B125" s="1" t="s">
        <v>17</v>
      </c>
      <c r="C125" s="1" t="s">
        <v>20</v>
      </c>
      <c r="D125" s="1" t="s">
        <v>21</v>
      </c>
      <c r="E125" s="31">
        <v>718.04</v>
      </c>
      <c r="F125" s="2">
        <v>14</v>
      </c>
      <c r="G125" s="2">
        <v>0</v>
      </c>
      <c r="H125" s="3">
        <v>45613</v>
      </c>
      <c r="I125" s="35">
        <v>179.51</v>
      </c>
      <c r="J125" s="13" t="str">
        <f t="shared" si="6"/>
        <v>No Discount</v>
      </c>
      <c r="K125" s="43">
        <f t="shared" ca="1" si="7"/>
        <v>46081.56108472222</v>
      </c>
      <c r="L125" s="42" t="str">
        <f>IF(Table1[Sales]&gt;1000,"High purchase","Normal purchase")</f>
        <v>Normal purchase</v>
      </c>
      <c r="M125" s="49">
        <f>Table1[[#This Row],[Profit]]/Table1[[#This Row],[Sales]]</f>
        <v>0.25</v>
      </c>
    </row>
    <row r="126" spans="1:13" ht="15" thickBot="1" x14ac:dyDescent="0.35">
      <c r="A126" s="4" t="s">
        <v>72</v>
      </c>
      <c r="B126" s="1" t="s">
        <v>17</v>
      </c>
      <c r="C126" s="1" t="s">
        <v>34</v>
      </c>
      <c r="D126" s="1" t="s">
        <v>15</v>
      </c>
      <c r="E126" s="31">
        <v>1277.8499999999999</v>
      </c>
      <c r="F126" s="2">
        <v>18</v>
      </c>
      <c r="G126" s="2">
        <v>0.2</v>
      </c>
      <c r="H126" s="3">
        <v>45613</v>
      </c>
      <c r="I126" s="35">
        <v>511.14</v>
      </c>
      <c r="J126" s="13" t="str">
        <f t="shared" si="6"/>
        <v>High Discount</v>
      </c>
      <c r="K126" s="43">
        <f t="shared" ca="1" si="7"/>
        <v>46081.56108472222</v>
      </c>
      <c r="L126" s="42" t="str">
        <f>IF(Table1[Sales]&gt;1000,"High purchase","Normal purchase")</f>
        <v>High purchase</v>
      </c>
      <c r="M126" s="49">
        <f>Table1[[#This Row],[Profit]]/Table1[[#This Row],[Sales]]</f>
        <v>0.4</v>
      </c>
    </row>
    <row r="127" spans="1:13" ht="15" thickBot="1" x14ac:dyDescent="0.35">
      <c r="A127" s="4" t="s">
        <v>70</v>
      </c>
      <c r="B127" s="1" t="s">
        <v>23</v>
      </c>
      <c r="C127" s="1" t="s">
        <v>24</v>
      </c>
      <c r="D127" s="1" t="s">
        <v>21</v>
      </c>
      <c r="E127" s="31">
        <v>706.73</v>
      </c>
      <c r="F127" s="2">
        <v>1</v>
      </c>
      <c r="G127" s="2">
        <v>0.15</v>
      </c>
      <c r="H127" s="3">
        <v>45613</v>
      </c>
      <c r="I127" s="35">
        <v>150.18</v>
      </c>
      <c r="J127" s="13" t="str">
        <f t="shared" si="6"/>
        <v>Medium Discount</v>
      </c>
      <c r="K127" s="43">
        <f t="shared" ca="1" si="7"/>
        <v>46081.56108472222</v>
      </c>
      <c r="L127" s="42" t="str">
        <f>IF(Table1[Sales]&gt;1000,"High purchase","Normal purchase")</f>
        <v>Normal purchase</v>
      </c>
      <c r="M127" s="49">
        <f>Table1[[#This Row],[Profit]]/Table1[[#This Row],[Sales]]</f>
        <v>0.21249982312905918</v>
      </c>
    </row>
    <row r="128" spans="1:13" ht="15" thickBot="1" x14ac:dyDescent="0.35">
      <c r="A128" s="4" t="s">
        <v>65</v>
      </c>
      <c r="B128" s="1" t="s">
        <v>50</v>
      </c>
      <c r="C128" s="1" t="s">
        <v>18</v>
      </c>
      <c r="D128" s="1" t="s">
        <v>21</v>
      </c>
      <c r="E128" s="31">
        <v>1410.59</v>
      </c>
      <c r="F128" s="2">
        <v>15</v>
      </c>
      <c r="G128" s="2">
        <v>0</v>
      </c>
      <c r="H128" s="3">
        <v>45615</v>
      </c>
      <c r="I128" s="35">
        <v>352.65</v>
      </c>
      <c r="J128" s="13" t="str">
        <f t="shared" si="6"/>
        <v>No Discount</v>
      </c>
      <c r="K128" s="43">
        <f t="shared" ca="1" si="7"/>
        <v>46081.56108472222</v>
      </c>
      <c r="L128" s="42" t="str">
        <f>IF(Table1[Sales]&gt;1000,"High purchase","Normal purchase")</f>
        <v>High purchase</v>
      </c>
      <c r="M128" s="49">
        <f>Table1[[#This Row],[Profit]]/Table1[[#This Row],[Sales]]</f>
        <v>0.25000177230804133</v>
      </c>
    </row>
    <row r="129" spans="1:13" ht="15" thickBot="1" x14ac:dyDescent="0.35">
      <c r="A129" s="4" t="s">
        <v>32</v>
      </c>
      <c r="B129" s="1" t="s">
        <v>61</v>
      </c>
      <c r="C129" s="1" t="s">
        <v>20</v>
      </c>
      <c r="D129" s="1" t="s">
        <v>27</v>
      </c>
      <c r="E129" s="31">
        <v>1350.33</v>
      </c>
      <c r="F129" s="2">
        <v>10</v>
      </c>
      <c r="G129" s="2">
        <v>0</v>
      </c>
      <c r="H129" s="3">
        <v>45615</v>
      </c>
      <c r="I129" s="35">
        <v>472.62</v>
      </c>
      <c r="J129" s="13" t="str">
        <f t="shared" si="6"/>
        <v>No Discount</v>
      </c>
      <c r="K129" s="43">
        <f t="shared" ca="1" si="7"/>
        <v>46081.56108472222</v>
      </c>
      <c r="L129" s="42" t="str">
        <f>IF(Table1[Sales]&gt;1000,"High purchase","Normal purchase")</f>
        <v>High purchase</v>
      </c>
      <c r="M129" s="49">
        <f>Table1[[#This Row],[Profit]]/Table1[[#This Row],[Sales]]</f>
        <v>0.35000333251871768</v>
      </c>
    </row>
    <row r="130" spans="1:13" ht="15" thickBot="1" x14ac:dyDescent="0.35">
      <c r="A130" s="4" t="s">
        <v>41</v>
      </c>
      <c r="B130" s="1" t="s">
        <v>45</v>
      </c>
      <c r="C130" s="1" t="s">
        <v>18</v>
      </c>
      <c r="D130" s="1" t="s">
        <v>21</v>
      </c>
      <c r="E130" s="31">
        <v>919.18</v>
      </c>
      <c r="F130" s="2">
        <v>4</v>
      </c>
      <c r="G130" s="2">
        <v>0.15</v>
      </c>
      <c r="H130" s="3">
        <v>45615</v>
      </c>
      <c r="I130" s="35">
        <v>195.33</v>
      </c>
      <c r="J130" s="13" t="str">
        <f t="shared" ref="J130:J161" si="8">_xlfn.IFS(G130=0,"No Discount", G130&lt;=0.1,"Low Discount",G130&lt;=0.15,"Medium Discount",G130&gt;0.15,"High Discount")</f>
        <v>Medium Discount</v>
      </c>
      <c r="K130" s="43">
        <f t="shared" ref="K130:K161" ca="1" si="9">NOW()</f>
        <v>46081.56108472222</v>
      </c>
      <c r="L130" s="42" t="str">
        <f>IF(Table1[Sales]&gt;1000,"High purchase","Normal purchase")</f>
        <v>Normal purchase</v>
      </c>
      <c r="M130" s="49">
        <f>Table1[[#This Row],[Profit]]/Table1[[#This Row],[Sales]]</f>
        <v>0.21250462368632914</v>
      </c>
    </row>
    <row r="131" spans="1:13" ht="15" thickBot="1" x14ac:dyDescent="0.35">
      <c r="A131" s="4" t="s">
        <v>74</v>
      </c>
      <c r="B131" s="1" t="s">
        <v>23</v>
      </c>
      <c r="C131" s="1" t="s">
        <v>11</v>
      </c>
      <c r="D131" s="1" t="s">
        <v>21</v>
      </c>
      <c r="E131" s="31">
        <v>258.51</v>
      </c>
      <c r="F131" s="2">
        <v>19</v>
      </c>
      <c r="G131" s="2">
        <v>0</v>
      </c>
      <c r="H131" s="3">
        <v>45616</v>
      </c>
      <c r="I131" s="35">
        <v>64.63</v>
      </c>
      <c r="J131" s="13" t="str">
        <f t="shared" si="8"/>
        <v>No Discount</v>
      </c>
      <c r="K131" s="43">
        <f t="shared" ca="1" si="9"/>
        <v>46081.56108472222</v>
      </c>
      <c r="L131" s="42" t="str">
        <f>IF(Table1[Sales]&gt;1000,"High purchase","Normal purchase")</f>
        <v>Normal purchase</v>
      </c>
      <c r="M131" s="49">
        <f>Table1[[#This Row],[Profit]]/Table1[[#This Row],[Sales]]</f>
        <v>0.25000967080577152</v>
      </c>
    </row>
    <row r="132" spans="1:13" ht="15" thickBot="1" x14ac:dyDescent="0.35">
      <c r="A132" s="4" t="s">
        <v>63</v>
      </c>
      <c r="B132" s="1" t="s">
        <v>61</v>
      </c>
      <c r="C132" s="1" t="s">
        <v>18</v>
      </c>
      <c r="D132" s="1" t="s">
        <v>12</v>
      </c>
      <c r="E132" s="31">
        <v>1213.48</v>
      </c>
      <c r="F132" s="2">
        <v>5</v>
      </c>
      <c r="G132" s="2">
        <v>0.05</v>
      </c>
      <c r="H132" s="3">
        <v>45616</v>
      </c>
      <c r="I132" s="35">
        <v>461.12</v>
      </c>
      <c r="J132" s="13" t="str">
        <f t="shared" si="8"/>
        <v>Low Discount</v>
      </c>
      <c r="K132" s="43">
        <f t="shared" ca="1" si="9"/>
        <v>46081.56108472222</v>
      </c>
      <c r="L132" s="42" t="str">
        <f>IF(Table1[Sales]&gt;1000,"High purchase","Normal purchase")</f>
        <v>High purchase</v>
      </c>
      <c r="M132" s="49">
        <f>Table1[[#This Row],[Profit]]/Table1[[#This Row],[Sales]]</f>
        <v>0.37999802221709461</v>
      </c>
    </row>
    <row r="133" spans="1:13" ht="15" thickBot="1" x14ac:dyDescent="0.35">
      <c r="A133" s="4" t="s">
        <v>57</v>
      </c>
      <c r="B133" s="1" t="s">
        <v>38</v>
      </c>
      <c r="C133" s="1" t="s">
        <v>34</v>
      </c>
      <c r="D133" s="1" t="s">
        <v>12</v>
      </c>
      <c r="E133" s="31">
        <v>1150.28</v>
      </c>
      <c r="F133" s="2">
        <v>8</v>
      </c>
      <c r="G133" s="2">
        <v>0.05</v>
      </c>
      <c r="H133" s="3">
        <v>45622</v>
      </c>
      <c r="I133" s="35">
        <v>437.11</v>
      </c>
      <c r="J133" s="13" t="str">
        <f t="shared" si="8"/>
        <v>Low Discount</v>
      </c>
      <c r="K133" s="43">
        <f t="shared" ca="1" si="9"/>
        <v>46081.56108472222</v>
      </c>
      <c r="L133" s="42" t="str">
        <f>IF(Table1[Sales]&gt;1000,"High purchase","Normal purchase")</f>
        <v>High purchase</v>
      </c>
      <c r="M133" s="49">
        <f>Table1[[#This Row],[Profit]]/Table1[[#This Row],[Sales]]</f>
        <v>0.38000312967277533</v>
      </c>
    </row>
    <row r="134" spans="1:13" ht="15" thickBot="1" x14ac:dyDescent="0.35">
      <c r="A134" s="4" t="s">
        <v>37</v>
      </c>
      <c r="B134" s="1" t="s">
        <v>71</v>
      </c>
      <c r="C134" s="1" t="s">
        <v>20</v>
      </c>
      <c r="D134" s="1" t="s">
        <v>27</v>
      </c>
      <c r="E134" s="31">
        <v>853.86</v>
      </c>
      <c r="F134" s="2">
        <v>8</v>
      </c>
      <c r="G134" s="2">
        <v>0.1</v>
      </c>
      <c r="H134" s="3">
        <v>45622</v>
      </c>
      <c r="I134" s="35">
        <v>268.97000000000003</v>
      </c>
      <c r="J134" s="13" t="str">
        <f t="shared" si="8"/>
        <v>Low Discount</v>
      </c>
      <c r="K134" s="43">
        <f t="shared" ca="1" si="9"/>
        <v>46081.56108472222</v>
      </c>
      <c r="L134" s="42" t="str">
        <f>IF(Table1[Sales]&gt;1000,"High purchase","Normal purchase")</f>
        <v>Normal purchase</v>
      </c>
      <c r="M134" s="49">
        <f>Table1[[#This Row],[Profit]]/Table1[[#This Row],[Sales]]</f>
        <v>0.31500480172393602</v>
      </c>
    </row>
    <row r="135" spans="1:13" ht="15" thickBot="1" x14ac:dyDescent="0.35">
      <c r="A135" s="4" t="s">
        <v>75</v>
      </c>
      <c r="B135" s="1" t="s">
        <v>45</v>
      </c>
      <c r="C135" s="1" t="s">
        <v>20</v>
      </c>
      <c r="D135" s="1" t="s">
        <v>21</v>
      </c>
      <c r="E135" s="31">
        <v>1061.04</v>
      </c>
      <c r="F135" s="2">
        <v>1</v>
      </c>
      <c r="G135" s="2">
        <v>0</v>
      </c>
      <c r="H135" s="3">
        <v>45624</v>
      </c>
      <c r="I135" s="35">
        <v>265.26</v>
      </c>
      <c r="J135" s="13" t="str">
        <f t="shared" si="8"/>
        <v>No Discount</v>
      </c>
      <c r="K135" s="43">
        <f t="shared" ca="1" si="9"/>
        <v>46081.56108472222</v>
      </c>
      <c r="L135" s="42" t="str">
        <f>IF(Table1[Sales]&gt;1000,"High purchase","Normal purchase")</f>
        <v>High purchase</v>
      </c>
      <c r="M135" s="49">
        <f>Table1[[#This Row],[Profit]]/Table1[[#This Row],[Sales]]</f>
        <v>0.25</v>
      </c>
    </row>
    <row r="136" spans="1:13" ht="15" thickBot="1" x14ac:dyDescent="0.35">
      <c r="A136" s="4" t="s">
        <v>28</v>
      </c>
      <c r="B136" s="1" t="s">
        <v>43</v>
      </c>
      <c r="C136" s="1" t="s">
        <v>11</v>
      </c>
      <c r="D136" s="1" t="s">
        <v>21</v>
      </c>
      <c r="E136" s="31">
        <v>894.55</v>
      </c>
      <c r="F136" s="2">
        <v>19</v>
      </c>
      <c r="G136" s="2">
        <v>0.2</v>
      </c>
      <c r="H136" s="3">
        <v>45625</v>
      </c>
      <c r="I136" s="35">
        <v>178.91</v>
      </c>
      <c r="J136" s="13" t="str">
        <f t="shared" si="8"/>
        <v>High Discount</v>
      </c>
      <c r="K136" s="43">
        <f t="shared" ca="1" si="9"/>
        <v>46081.56108472222</v>
      </c>
      <c r="L136" s="42" t="str">
        <f>IF(Table1[Sales]&gt;1000,"High purchase","Normal purchase")</f>
        <v>Normal purchase</v>
      </c>
      <c r="M136" s="49">
        <f>Table1[[#This Row],[Profit]]/Table1[[#This Row],[Sales]]</f>
        <v>0.2</v>
      </c>
    </row>
    <row r="137" spans="1:13" ht="15" thickBot="1" x14ac:dyDescent="0.35">
      <c r="A137" s="4" t="s">
        <v>25</v>
      </c>
      <c r="B137" s="1" t="s">
        <v>38</v>
      </c>
      <c r="C137" s="1" t="s">
        <v>24</v>
      </c>
      <c r="D137" s="1" t="s">
        <v>39</v>
      </c>
      <c r="E137" s="31">
        <v>833.91</v>
      </c>
      <c r="F137" s="2">
        <v>3</v>
      </c>
      <c r="G137" s="2">
        <v>0.05</v>
      </c>
      <c r="H137" s="3">
        <v>45626</v>
      </c>
      <c r="I137" s="35">
        <v>356.5</v>
      </c>
      <c r="J137" s="13" t="str">
        <f t="shared" si="8"/>
        <v>Low Discount</v>
      </c>
      <c r="K137" s="43">
        <f t="shared" ca="1" si="9"/>
        <v>46081.56108472222</v>
      </c>
      <c r="L137" s="42" t="str">
        <f>IF(Table1[Sales]&gt;1000,"High purchase","Normal purchase")</f>
        <v>Normal purchase</v>
      </c>
      <c r="M137" s="49">
        <f>Table1[[#This Row],[Profit]]/Table1[[#This Row],[Sales]]</f>
        <v>0.42750416711635547</v>
      </c>
    </row>
    <row r="138" spans="1:13" ht="15" thickBot="1" x14ac:dyDescent="0.35">
      <c r="A138" s="4" t="s">
        <v>58</v>
      </c>
      <c r="B138" s="1" t="s">
        <v>71</v>
      </c>
      <c r="C138" s="1" t="s">
        <v>11</v>
      </c>
      <c r="D138" s="1" t="s">
        <v>27</v>
      </c>
      <c r="E138" s="31">
        <v>820.19</v>
      </c>
      <c r="F138" s="2">
        <v>4</v>
      </c>
      <c r="G138" s="2">
        <v>0.2</v>
      </c>
      <c r="H138" s="3">
        <v>45630</v>
      </c>
      <c r="I138" s="35">
        <v>229.65</v>
      </c>
      <c r="J138" s="13" t="str">
        <f t="shared" si="8"/>
        <v>High Discount</v>
      </c>
      <c r="K138" s="43">
        <f t="shared" ca="1" si="9"/>
        <v>46081.56108472222</v>
      </c>
      <c r="L138" s="42" t="str">
        <f>IF(Table1[Sales]&gt;1000,"High purchase","Normal purchase")</f>
        <v>Normal purchase</v>
      </c>
      <c r="M138" s="49">
        <f>Table1[[#This Row],[Profit]]/Table1[[#This Row],[Sales]]</f>
        <v>0.2799960984649898</v>
      </c>
    </row>
    <row r="139" spans="1:13" ht="15" thickBot="1" x14ac:dyDescent="0.35">
      <c r="A139" s="4" t="s">
        <v>58</v>
      </c>
      <c r="B139" s="1" t="s">
        <v>38</v>
      </c>
      <c r="C139" s="1" t="s">
        <v>34</v>
      </c>
      <c r="D139" s="1" t="s">
        <v>21</v>
      </c>
      <c r="E139" s="31">
        <v>511.74</v>
      </c>
      <c r="F139" s="2">
        <v>8</v>
      </c>
      <c r="G139" s="2">
        <v>0.05</v>
      </c>
      <c r="H139" s="3">
        <v>45631</v>
      </c>
      <c r="I139" s="35">
        <v>121.54</v>
      </c>
      <c r="J139" s="13" t="str">
        <f t="shared" si="8"/>
        <v>Low Discount</v>
      </c>
      <c r="K139" s="43">
        <f t="shared" ca="1" si="9"/>
        <v>46081.56108472222</v>
      </c>
      <c r="L139" s="42" t="str">
        <f>IF(Table1[Sales]&gt;1000,"High purchase","Normal purchase")</f>
        <v>Normal purchase</v>
      </c>
      <c r="M139" s="49">
        <f>Table1[[#This Row],[Profit]]/Table1[[#This Row],[Sales]]</f>
        <v>0.2375034197053191</v>
      </c>
    </row>
    <row r="140" spans="1:13" ht="15" thickBot="1" x14ac:dyDescent="0.35">
      <c r="A140" s="4" t="s">
        <v>65</v>
      </c>
      <c r="B140" s="1" t="s">
        <v>61</v>
      </c>
      <c r="C140" s="1" t="s">
        <v>20</v>
      </c>
      <c r="D140" s="1" t="s">
        <v>27</v>
      </c>
      <c r="E140" s="31">
        <v>806.03</v>
      </c>
      <c r="F140" s="2">
        <v>19</v>
      </c>
      <c r="G140" s="2">
        <v>0.05</v>
      </c>
      <c r="H140" s="3">
        <v>45638</v>
      </c>
      <c r="I140" s="35">
        <v>268</v>
      </c>
      <c r="J140" s="13" t="str">
        <f t="shared" si="8"/>
        <v>Low Discount</v>
      </c>
      <c r="K140" s="43">
        <f t="shared" ca="1" si="9"/>
        <v>46081.56108472222</v>
      </c>
      <c r="L140" s="42" t="str">
        <f>IF(Table1[Sales]&gt;1000,"High purchase","Normal purchase")</f>
        <v>Normal purchase</v>
      </c>
      <c r="M140" s="49">
        <f>Table1[[#This Row],[Profit]]/Table1[[#This Row],[Sales]]</f>
        <v>0.33249382777315983</v>
      </c>
    </row>
    <row r="141" spans="1:13" ht="15" thickBot="1" x14ac:dyDescent="0.35">
      <c r="A141" s="4" t="s">
        <v>28</v>
      </c>
      <c r="B141" s="1" t="s">
        <v>26</v>
      </c>
      <c r="C141" s="1" t="s">
        <v>34</v>
      </c>
      <c r="D141" s="1" t="s">
        <v>27</v>
      </c>
      <c r="E141" s="31">
        <v>1432.47</v>
      </c>
      <c r="F141" s="2">
        <v>16</v>
      </c>
      <c r="G141" s="2">
        <v>0.15</v>
      </c>
      <c r="H141" s="3">
        <v>45640</v>
      </c>
      <c r="I141" s="35">
        <v>426.16</v>
      </c>
      <c r="J141" s="13" t="str">
        <f t="shared" si="8"/>
        <v>Medium Discount</v>
      </c>
      <c r="K141" s="43">
        <f t="shared" ca="1" si="9"/>
        <v>46081.56108472222</v>
      </c>
      <c r="L141" s="42" t="str">
        <f>IF(Table1[Sales]&gt;1000,"High purchase","Normal purchase")</f>
        <v>High purchase</v>
      </c>
      <c r="M141" s="49">
        <f>Table1[[#This Row],[Profit]]/Table1[[#This Row],[Sales]]</f>
        <v>0.29750012216660732</v>
      </c>
    </row>
    <row r="142" spans="1:13" ht="15" thickBot="1" x14ac:dyDescent="0.35">
      <c r="A142" s="4" t="s">
        <v>74</v>
      </c>
      <c r="B142" s="1" t="s">
        <v>29</v>
      </c>
      <c r="C142" s="1" t="s">
        <v>34</v>
      </c>
      <c r="D142" s="1" t="s">
        <v>21</v>
      </c>
      <c r="E142" s="31">
        <v>1488.58</v>
      </c>
      <c r="F142" s="2">
        <v>10</v>
      </c>
      <c r="G142" s="2">
        <v>0.15</v>
      </c>
      <c r="H142" s="3">
        <v>45640</v>
      </c>
      <c r="I142" s="35">
        <v>316.32</v>
      </c>
      <c r="J142" s="13" t="str">
        <f t="shared" si="8"/>
        <v>Medium Discount</v>
      </c>
      <c r="K142" s="43">
        <f t="shared" ca="1" si="9"/>
        <v>46081.56108472222</v>
      </c>
      <c r="L142" s="42" t="str">
        <f>IF(Table1[Sales]&gt;1000,"High purchase","Normal purchase")</f>
        <v>High purchase</v>
      </c>
      <c r="M142" s="49">
        <f>Table1[[#This Row],[Profit]]/Table1[[#This Row],[Sales]]</f>
        <v>0.21249781671122817</v>
      </c>
    </row>
    <row r="143" spans="1:13" ht="15" thickBot="1" x14ac:dyDescent="0.35">
      <c r="A143" s="4" t="s">
        <v>30</v>
      </c>
      <c r="B143" s="1" t="s">
        <v>66</v>
      </c>
      <c r="C143" s="1" t="s">
        <v>18</v>
      </c>
      <c r="D143" s="1" t="s">
        <v>12</v>
      </c>
      <c r="E143" s="31">
        <v>1231.26</v>
      </c>
      <c r="F143" s="2">
        <v>9</v>
      </c>
      <c r="G143" s="2">
        <v>0</v>
      </c>
      <c r="H143" s="3">
        <v>45646</v>
      </c>
      <c r="I143" s="35">
        <v>492.5</v>
      </c>
      <c r="J143" s="13" t="str">
        <f t="shared" si="8"/>
        <v>No Discount</v>
      </c>
      <c r="K143" s="43">
        <f t="shared" ca="1" si="9"/>
        <v>46081.56108472222</v>
      </c>
      <c r="L143" s="42" t="str">
        <f>IF(Table1[Sales]&gt;1000,"High purchase","Normal purchase")</f>
        <v>High purchase</v>
      </c>
      <c r="M143" s="49">
        <f>Table1[[#This Row],[Profit]]/Table1[[#This Row],[Sales]]</f>
        <v>0.39999675129542095</v>
      </c>
    </row>
    <row r="144" spans="1:13" ht="15" thickBot="1" x14ac:dyDescent="0.35">
      <c r="A144" s="4" t="s">
        <v>30</v>
      </c>
      <c r="B144" s="1" t="s">
        <v>43</v>
      </c>
      <c r="C144" s="1" t="s">
        <v>11</v>
      </c>
      <c r="D144" s="1" t="s">
        <v>21</v>
      </c>
      <c r="E144" s="31">
        <v>1161.67</v>
      </c>
      <c r="F144" s="2">
        <v>19</v>
      </c>
      <c r="G144" s="2">
        <v>0.2</v>
      </c>
      <c r="H144" s="3">
        <v>45647</v>
      </c>
      <c r="I144" s="35">
        <v>232.33</v>
      </c>
      <c r="J144" s="13" t="str">
        <f t="shared" si="8"/>
        <v>High Discount</v>
      </c>
      <c r="K144" s="43">
        <f t="shared" ca="1" si="9"/>
        <v>46081.56108472222</v>
      </c>
      <c r="L144" s="42" t="str">
        <f>IF(Table1[Sales]&gt;1000,"High purchase","Normal purchase")</f>
        <v>High purchase</v>
      </c>
      <c r="M144" s="49">
        <f>Table1[[#This Row],[Profit]]/Table1[[#This Row],[Sales]]</f>
        <v>0.19999655668132946</v>
      </c>
    </row>
    <row r="145" spans="1:13" ht="15" thickBot="1" x14ac:dyDescent="0.35">
      <c r="A145" s="4" t="s">
        <v>49</v>
      </c>
      <c r="B145" s="1" t="s">
        <v>45</v>
      </c>
      <c r="C145" s="1" t="s">
        <v>34</v>
      </c>
      <c r="D145" s="1" t="s">
        <v>39</v>
      </c>
      <c r="E145" s="31">
        <v>388.23</v>
      </c>
      <c r="F145" s="2">
        <v>16</v>
      </c>
      <c r="G145" s="2">
        <v>0.05</v>
      </c>
      <c r="H145" s="3">
        <v>45650</v>
      </c>
      <c r="I145" s="35">
        <v>165.97</v>
      </c>
      <c r="J145" s="13" t="str">
        <f t="shared" si="8"/>
        <v>Low Discount</v>
      </c>
      <c r="K145" s="43">
        <f t="shared" ca="1" si="9"/>
        <v>46081.56108472222</v>
      </c>
      <c r="L145" s="42" t="str">
        <f>IF(Table1[Sales]&gt;1000,"High purchase","Normal purchase")</f>
        <v>Normal purchase</v>
      </c>
      <c r="M145" s="49">
        <f>Table1[[#This Row],[Profit]]/Table1[[#This Row],[Sales]]</f>
        <v>0.42750431445277282</v>
      </c>
    </row>
    <row r="146" spans="1:13" ht="15" thickBot="1" x14ac:dyDescent="0.35">
      <c r="A146" s="4" t="s">
        <v>72</v>
      </c>
      <c r="B146" s="1" t="s">
        <v>31</v>
      </c>
      <c r="C146" s="1" t="s">
        <v>24</v>
      </c>
      <c r="D146" s="1" t="s">
        <v>15</v>
      </c>
      <c r="E146" s="31">
        <v>1589.42</v>
      </c>
      <c r="F146" s="2">
        <v>6</v>
      </c>
      <c r="G146" s="2">
        <v>0.15</v>
      </c>
      <c r="H146" s="3">
        <v>45651</v>
      </c>
      <c r="I146" s="35">
        <v>675.5</v>
      </c>
      <c r="J146" s="13" t="str">
        <f t="shared" si="8"/>
        <v>Medium Discount</v>
      </c>
      <c r="K146" s="43">
        <f t="shared" ca="1" si="9"/>
        <v>46081.56108472222</v>
      </c>
      <c r="L146" s="42" t="str">
        <f>IF(Table1[Sales]&gt;1000,"High purchase","Normal purchase")</f>
        <v>High purchase</v>
      </c>
      <c r="M146" s="49">
        <f>Table1[[#This Row],[Profit]]/Table1[[#This Row],[Sales]]</f>
        <v>0.42499779793887077</v>
      </c>
    </row>
    <row r="147" spans="1:13" ht="15" thickBot="1" x14ac:dyDescent="0.35">
      <c r="A147" s="4" t="s">
        <v>28</v>
      </c>
      <c r="B147" s="1" t="s">
        <v>71</v>
      </c>
      <c r="C147" s="1" t="s">
        <v>24</v>
      </c>
      <c r="D147" s="1" t="s">
        <v>15</v>
      </c>
      <c r="E147" s="31">
        <v>336.66</v>
      </c>
      <c r="F147" s="2">
        <v>13</v>
      </c>
      <c r="G147" s="2">
        <v>0.2</v>
      </c>
      <c r="H147" s="3">
        <v>45651</v>
      </c>
      <c r="I147" s="35">
        <v>134.66</v>
      </c>
      <c r="J147" s="13" t="str">
        <f t="shared" si="8"/>
        <v>High Discount</v>
      </c>
      <c r="K147" s="43">
        <f t="shared" ca="1" si="9"/>
        <v>46081.56108472222</v>
      </c>
      <c r="L147" s="42" t="str">
        <f>IF(Table1[Sales]&gt;1000,"High purchase","Normal purchase")</f>
        <v>Normal purchase</v>
      </c>
      <c r="M147" s="49">
        <f>Table1[[#This Row],[Profit]]/Table1[[#This Row],[Sales]]</f>
        <v>0.39998811857660543</v>
      </c>
    </row>
    <row r="148" spans="1:13" ht="15" thickBot="1" x14ac:dyDescent="0.35">
      <c r="A148" s="4" t="s">
        <v>49</v>
      </c>
      <c r="B148" s="1" t="s">
        <v>23</v>
      </c>
      <c r="C148" s="1" t="s">
        <v>11</v>
      </c>
      <c r="D148" s="1" t="s">
        <v>12</v>
      </c>
      <c r="E148" s="31">
        <v>1353.79</v>
      </c>
      <c r="F148" s="2">
        <v>14</v>
      </c>
      <c r="G148" s="2">
        <v>0.1</v>
      </c>
      <c r="H148" s="3">
        <v>45656</v>
      </c>
      <c r="I148" s="35">
        <v>487.36</v>
      </c>
      <c r="J148" s="13" t="str">
        <f t="shared" si="8"/>
        <v>Low Discount</v>
      </c>
      <c r="K148" s="43">
        <f t="shared" ca="1" si="9"/>
        <v>46081.56108472222</v>
      </c>
      <c r="L148" s="42" t="str">
        <f>IF(Table1[Sales]&gt;1000,"High purchase","Normal purchase")</f>
        <v>High purchase</v>
      </c>
      <c r="M148" s="49">
        <f>Table1[[#This Row],[Profit]]/Table1[[#This Row],[Sales]]</f>
        <v>0.35999674986519331</v>
      </c>
    </row>
    <row r="149" spans="1:13" ht="15" thickBot="1" x14ac:dyDescent="0.35">
      <c r="A149" s="4" t="s">
        <v>63</v>
      </c>
      <c r="B149" s="1" t="s">
        <v>69</v>
      </c>
      <c r="C149" s="1" t="s">
        <v>34</v>
      </c>
      <c r="D149" s="1" t="s">
        <v>15</v>
      </c>
      <c r="E149" s="31">
        <v>662.61</v>
      </c>
      <c r="F149" s="2">
        <v>11</v>
      </c>
      <c r="G149" s="2">
        <v>0.05</v>
      </c>
      <c r="H149" s="3">
        <v>45658</v>
      </c>
      <c r="I149" s="35">
        <v>314.74</v>
      </c>
      <c r="J149" s="13" t="str">
        <f t="shared" si="8"/>
        <v>Low Discount</v>
      </c>
      <c r="K149" s="43">
        <f t="shared" ca="1" si="9"/>
        <v>46081.56108472222</v>
      </c>
      <c r="L149" s="42" t="str">
        <f>IF(Table1[Sales]&gt;1000,"High purchase","Normal purchase")</f>
        <v>Normal purchase</v>
      </c>
      <c r="M149" s="49">
        <f>Table1[[#This Row],[Profit]]/Table1[[#This Row],[Sales]]</f>
        <v>0.47500037729584521</v>
      </c>
    </row>
    <row r="150" spans="1:13" ht="15" thickBot="1" x14ac:dyDescent="0.35">
      <c r="A150" s="4" t="s">
        <v>52</v>
      </c>
      <c r="B150" s="1" t="s">
        <v>48</v>
      </c>
      <c r="C150" s="1" t="s">
        <v>24</v>
      </c>
      <c r="D150" s="1" t="s">
        <v>39</v>
      </c>
      <c r="E150" s="31">
        <v>309.42</v>
      </c>
      <c r="F150" s="2">
        <v>1</v>
      </c>
      <c r="G150" s="2">
        <v>0.2</v>
      </c>
      <c r="H150" s="3">
        <v>45658</v>
      </c>
      <c r="I150" s="35">
        <v>111.39</v>
      </c>
      <c r="J150" s="13" t="str">
        <f t="shared" si="8"/>
        <v>High Discount</v>
      </c>
      <c r="K150" s="43">
        <f t="shared" ca="1" si="9"/>
        <v>46081.56108472222</v>
      </c>
      <c r="L150" s="42" t="str">
        <f>IF(Table1[Sales]&gt;1000,"High purchase","Normal purchase")</f>
        <v>Normal purchase</v>
      </c>
      <c r="M150" s="49">
        <f>Table1[[#This Row],[Profit]]/Table1[[#This Row],[Sales]]</f>
        <v>0.35999612177622647</v>
      </c>
    </row>
    <row r="151" spans="1:13" ht="15" thickBot="1" x14ac:dyDescent="0.35">
      <c r="A151" s="4" t="s">
        <v>63</v>
      </c>
      <c r="B151" s="1" t="s">
        <v>29</v>
      </c>
      <c r="C151" s="1" t="s">
        <v>24</v>
      </c>
      <c r="D151" s="1" t="s">
        <v>12</v>
      </c>
      <c r="E151" s="31">
        <v>884.63</v>
      </c>
      <c r="F151" s="2">
        <v>18</v>
      </c>
      <c r="G151" s="2">
        <v>0.1</v>
      </c>
      <c r="H151" s="3">
        <v>45659</v>
      </c>
      <c r="I151" s="35">
        <v>318.47000000000003</v>
      </c>
      <c r="J151" s="13" t="str">
        <f t="shared" si="8"/>
        <v>Low Discount</v>
      </c>
      <c r="K151" s="43">
        <f t="shared" ca="1" si="9"/>
        <v>46081.56108472222</v>
      </c>
      <c r="L151" s="42" t="str">
        <f>IF(Table1[Sales]&gt;1000,"High purchase","Normal purchase")</f>
        <v>Normal purchase</v>
      </c>
      <c r="M151" s="49">
        <f>Table1[[#This Row],[Profit]]/Table1[[#This Row],[Sales]]</f>
        <v>0.36000361733153979</v>
      </c>
    </row>
    <row r="152" spans="1:13" ht="15" thickBot="1" x14ac:dyDescent="0.35">
      <c r="A152" s="4" t="s">
        <v>52</v>
      </c>
      <c r="B152" s="1" t="s">
        <v>23</v>
      </c>
      <c r="C152" s="1" t="s">
        <v>34</v>
      </c>
      <c r="D152" s="1" t="s">
        <v>39</v>
      </c>
      <c r="E152" s="31">
        <v>745.05</v>
      </c>
      <c r="F152" s="2">
        <v>10</v>
      </c>
      <c r="G152" s="2">
        <v>0.1</v>
      </c>
      <c r="H152" s="3">
        <v>45660</v>
      </c>
      <c r="I152" s="35">
        <v>301.75</v>
      </c>
      <c r="J152" s="13" t="str">
        <f t="shared" si="8"/>
        <v>Low Discount</v>
      </c>
      <c r="K152" s="43">
        <f t="shared" ca="1" si="9"/>
        <v>46081.56108472222</v>
      </c>
      <c r="L152" s="42" t="str">
        <f>IF(Table1[Sales]&gt;1000,"High purchase","Normal purchase")</f>
        <v>Normal purchase</v>
      </c>
      <c r="M152" s="49">
        <f>Table1[[#This Row],[Profit]]/Table1[[#This Row],[Sales]]</f>
        <v>0.40500637541104628</v>
      </c>
    </row>
    <row r="153" spans="1:13" ht="15" thickBot="1" x14ac:dyDescent="0.35">
      <c r="A153" s="4" t="s">
        <v>60</v>
      </c>
      <c r="B153" s="1" t="s">
        <v>17</v>
      </c>
      <c r="C153" s="1" t="s">
        <v>20</v>
      </c>
      <c r="D153" s="1" t="s">
        <v>15</v>
      </c>
      <c r="E153" s="31">
        <v>870.23</v>
      </c>
      <c r="F153" s="2">
        <v>5</v>
      </c>
      <c r="G153" s="2">
        <v>0.05</v>
      </c>
      <c r="H153" s="3">
        <v>45660</v>
      </c>
      <c r="I153" s="35">
        <v>413.36</v>
      </c>
      <c r="J153" s="13" t="str">
        <f t="shared" si="8"/>
        <v>Low Discount</v>
      </c>
      <c r="K153" s="43">
        <f t="shared" ca="1" si="9"/>
        <v>46081.56108472222</v>
      </c>
      <c r="L153" s="42" t="str">
        <f>IF(Table1[Sales]&gt;1000,"High purchase","Normal purchase")</f>
        <v>Normal purchase</v>
      </c>
      <c r="M153" s="49">
        <f>Table1[[#This Row],[Profit]]/Table1[[#This Row],[Sales]]</f>
        <v>0.47500086184112245</v>
      </c>
    </row>
    <row r="154" spans="1:13" ht="15" thickBot="1" x14ac:dyDescent="0.35">
      <c r="A154" s="4" t="s">
        <v>35</v>
      </c>
      <c r="B154" s="1" t="s">
        <v>29</v>
      </c>
      <c r="C154" s="1" t="s">
        <v>11</v>
      </c>
      <c r="D154" s="1" t="s">
        <v>27</v>
      </c>
      <c r="E154" s="31">
        <v>862.19</v>
      </c>
      <c r="F154" s="2">
        <v>18</v>
      </c>
      <c r="G154" s="2">
        <v>0.05</v>
      </c>
      <c r="H154" s="3">
        <v>45663</v>
      </c>
      <c r="I154" s="35">
        <v>286.68</v>
      </c>
      <c r="J154" s="13" t="str">
        <f t="shared" si="8"/>
        <v>Low Discount</v>
      </c>
      <c r="K154" s="43">
        <f t="shared" ca="1" si="9"/>
        <v>46081.56108472222</v>
      </c>
      <c r="L154" s="42" t="str">
        <f>IF(Table1[Sales]&gt;1000,"High purchase","Normal purchase")</f>
        <v>Normal purchase</v>
      </c>
      <c r="M154" s="49">
        <f>Table1[[#This Row],[Profit]]/Table1[[#This Row],[Sales]]</f>
        <v>0.33250211670281493</v>
      </c>
    </row>
    <row r="155" spans="1:13" ht="15" thickBot="1" x14ac:dyDescent="0.35">
      <c r="A155" s="4" t="s">
        <v>73</v>
      </c>
      <c r="B155" s="1" t="s">
        <v>59</v>
      </c>
      <c r="C155" s="1" t="s">
        <v>24</v>
      </c>
      <c r="D155" s="1" t="s">
        <v>15</v>
      </c>
      <c r="E155" s="31">
        <v>1171.18</v>
      </c>
      <c r="F155" s="2">
        <v>19</v>
      </c>
      <c r="G155" s="2">
        <v>0.05</v>
      </c>
      <c r="H155" s="3">
        <v>45667</v>
      </c>
      <c r="I155" s="35">
        <v>556.30999999999995</v>
      </c>
      <c r="J155" s="13" t="str">
        <f t="shared" si="8"/>
        <v>Low Discount</v>
      </c>
      <c r="K155" s="43">
        <f t="shared" ca="1" si="9"/>
        <v>46081.56108472222</v>
      </c>
      <c r="L155" s="42" t="str">
        <f>IF(Table1[Sales]&gt;1000,"High purchase","Normal purchase")</f>
        <v>High purchase</v>
      </c>
      <c r="M155" s="49">
        <f>Table1[[#This Row],[Profit]]/Table1[[#This Row],[Sales]]</f>
        <v>0.47499957308014135</v>
      </c>
    </row>
    <row r="156" spans="1:13" ht="15" thickBot="1" x14ac:dyDescent="0.35">
      <c r="A156" s="4" t="s">
        <v>58</v>
      </c>
      <c r="B156" s="1" t="s">
        <v>14</v>
      </c>
      <c r="C156" s="1" t="s">
        <v>20</v>
      </c>
      <c r="D156" s="1" t="s">
        <v>27</v>
      </c>
      <c r="E156" s="31">
        <v>1054.56</v>
      </c>
      <c r="F156" s="2">
        <v>11</v>
      </c>
      <c r="G156" s="2">
        <v>0.1</v>
      </c>
      <c r="H156" s="3">
        <v>45669</v>
      </c>
      <c r="I156" s="35">
        <v>332.19</v>
      </c>
      <c r="J156" s="13" t="str">
        <f t="shared" si="8"/>
        <v>Low Discount</v>
      </c>
      <c r="K156" s="43">
        <f t="shared" ca="1" si="9"/>
        <v>46081.56108472222</v>
      </c>
      <c r="L156" s="42" t="str">
        <f>IF(Table1[Sales]&gt;1000,"High purchase","Normal purchase")</f>
        <v>High purchase</v>
      </c>
      <c r="M156" s="49">
        <f>Table1[[#This Row],[Profit]]/Table1[[#This Row],[Sales]]</f>
        <v>0.31500341374601731</v>
      </c>
    </row>
    <row r="157" spans="1:13" ht="15" thickBot="1" x14ac:dyDescent="0.35">
      <c r="A157" s="4" t="s">
        <v>58</v>
      </c>
      <c r="B157" s="1" t="s">
        <v>23</v>
      </c>
      <c r="C157" s="1" t="s">
        <v>24</v>
      </c>
      <c r="D157" s="1" t="s">
        <v>21</v>
      </c>
      <c r="E157" s="31">
        <v>1681.21</v>
      </c>
      <c r="F157" s="2">
        <v>5</v>
      </c>
      <c r="G157" s="2">
        <v>0.2</v>
      </c>
      <c r="H157" s="3">
        <v>45670</v>
      </c>
      <c r="I157" s="35">
        <v>336.24</v>
      </c>
      <c r="J157" s="13" t="str">
        <f t="shared" si="8"/>
        <v>High Discount</v>
      </c>
      <c r="K157" s="43">
        <f t="shared" ca="1" si="9"/>
        <v>46081.56108472222</v>
      </c>
      <c r="L157" s="42" t="str">
        <f>IF(Table1[Sales]&gt;1000,"High purchase","Normal purchase")</f>
        <v>High purchase</v>
      </c>
      <c r="M157" s="49">
        <f>Table1[[#This Row],[Profit]]/Table1[[#This Row],[Sales]]</f>
        <v>0.19999881038061873</v>
      </c>
    </row>
    <row r="158" spans="1:13" ht="15" thickBot="1" x14ac:dyDescent="0.35">
      <c r="A158" s="4" t="s">
        <v>58</v>
      </c>
      <c r="B158" s="1" t="s">
        <v>36</v>
      </c>
      <c r="C158" s="1" t="s">
        <v>11</v>
      </c>
      <c r="D158" s="1" t="s">
        <v>15</v>
      </c>
      <c r="E158" s="31">
        <v>379.77</v>
      </c>
      <c r="F158" s="2">
        <v>9</v>
      </c>
      <c r="G158" s="2">
        <v>0.05</v>
      </c>
      <c r="H158" s="3">
        <v>45673</v>
      </c>
      <c r="I158" s="35">
        <v>180.39</v>
      </c>
      <c r="J158" s="13" t="str">
        <f t="shared" si="8"/>
        <v>Low Discount</v>
      </c>
      <c r="K158" s="43">
        <f t="shared" ca="1" si="9"/>
        <v>46081.56108472222</v>
      </c>
      <c r="L158" s="42" t="str">
        <f>IF(Table1[Sales]&gt;1000,"High purchase","Normal purchase")</f>
        <v>Normal purchase</v>
      </c>
      <c r="M158" s="49">
        <f>Table1[[#This Row],[Profit]]/Table1[[#This Row],[Sales]]</f>
        <v>0.47499802512046763</v>
      </c>
    </row>
    <row r="159" spans="1:13" ht="15" thickBot="1" x14ac:dyDescent="0.35">
      <c r="A159" s="4" t="s">
        <v>44</v>
      </c>
      <c r="B159" s="1" t="s">
        <v>45</v>
      </c>
      <c r="C159" s="1" t="s">
        <v>34</v>
      </c>
      <c r="D159" s="1" t="s">
        <v>15</v>
      </c>
      <c r="E159" s="31">
        <v>1076.33</v>
      </c>
      <c r="F159" s="2">
        <v>2</v>
      </c>
      <c r="G159" s="2">
        <v>0.1</v>
      </c>
      <c r="H159" s="3">
        <v>45674</v>
      </c>
      <c r="I159" s="35">
        <v>484.35</v>
      </c>
      <c r="J159" s="13" t="str">
        <f t="shared" si="8"/>
        <v>Low Discount</v>
      </c>
      <c r="K159" s="43">
        <f t="shared" ca="1" si="9"/>
        <v>46081.56108472222</v>
      </c>
      <c r="L159" s="42" t="str">
        <f>IF(Table1[Sales]&gt;1000,"High purchase","Normal purchase")</f>
        <v>High purchase</v>
      </c>
      <c r="M159" s="49">
        <f>Table1[[#This Row],[Profit]]/Table1[[#This Row],[Sales]]</f>
        <v>0.45000139362463193</v>
      </c>
    </row>
    <row r="160" spans="1:13" ht="15" thickBot="1" x14ac:dyDescent="0.35">
      <c r="A160" s="4" t="s">
        <v>44</v>
      </c>
      <c r="B160" s="1" t="s">
        <v>31</v>
      </c>
      <c r="C160" s="1" t="s">
        <v>34</v>
      </c>
      <c r="D160" s="1" t="s">
        <v>39</v>
      </c>
      <c r="E160" s="31">
        <v>1250.71</v>
      </c>
      <c r="F160" s="2">
        <v>7</v>
      </c>
      <c r="G160" s="2">
        <v>0</v>
      </c>
      <c r="H160" s="3">
        <v>45674</v>
      </c>
      <c r="I160" s="35">
        <v>562.82000000000005</v>
      </c>
      <c r="J160" s="13" t="str">
        <f t="shared" si="8"/>
        <v>No Discount</v>
      </c>
      <c r="K160" s="43">
        <f t="shared" ca="1" si="9"/>
        <v>46081.56108472222</v>
      </c>
      <c r="L160" s="42" t="str">
        <f>IF(Table1[Sales]&gt;1000,"High purchase","Normal purchase")</f>
        <v>High purchase</v>
      </c>
      <c r="M160" s="49">
        <f>Table1[[#This Row],[Profit]]/Table1[[#This Row],[Sales]]</f>
        <v>0.45000039977292899</v>
      </c>
    </row>
    <row r="161" spans="1:13" ht="15" thickBot="1" x14ac:dyDescent="0.35">
      <c r="A161" s="4" t="s">
        <v>40</v>
      </c>
      <c r="B161" s="1" t="s">
        <v>17</v>
      </c>
      <c r="C161" s="1" t="s">
        <v>20</v>
      </c>
      <c r="D161" s="1" t="s">
        <v>15</v>
      </c>
      <c r="E161" s="31">
        <v>1118.3399999999999</v>
      </c>
      <c r="F161" s="2">
        <v>6</v>
      </c>
      <c r="G161" s="2">
        <v>0.2</v>
      </c>
      <c r="H161" s="3">
        <v>45674</v>
      </c>
      <c r="I161" s="35">
        <v>447.34</v>
      </c>
      <c r="J161" s="13" t="str">
        <f t="shared" si="8"/>
        <v>High Discount</v>
      </c>
      <c r="K161" s="43">
        <f t="shared" ca="1" si="9"/>
        <v>46081.56108472222</v>
      </c>
      <c r="L161" s="42" t="str">
        <f>IF(Table1[Sales]&gt;1000,"High purchase","Normal purchase")</f>
        <v>High purchase</v>
      </c>
      <c r="M161" s="49">
        <f>Table1[[#This Row],[Profit]]/Table1[[#This Row],[Sales]]</f>
        <v>0.40000357672979597</v>
      </c>
    </row>
    <row r="162" spans="1:13" ht="15" thickBot="1" x14ac:dyDescent="0.35">
      <c r="A162" s="4" t="s">
        <v>70</v>
      </c>
      <c r="B162" s="1" t="s">
        <v>53</v>
      </c>
      <c r="C162" s="1" t="s">
        <v>24</v>
      </c>
      <c r="D162" s="1" t="s">
        <v>15</v>
      </c>
      <c r="E162" s="31">
        <v>1622.62</v>
      </c>
      <c r="F162" s="2">
        <v>12</v>
      </c>
      <c r="G162" s="2">
        <v>0.2</v>
      </c>
      <c r="H162" s="3">
        <v>45677</v>
      </c>
      <c r="I162" s="35">
        <v>649.04999999999995</v>
      </c>
      <c r="J162" s="13" t="str">
        <f t="shared" ref="J162:J193" si="10">_xlfn.IFS(G162=0,"No Discount", G162&lt;=0.1,"Low Discount",G162&lt;=0.15,"Medium Discount",G162&gt;0.15,"High Discount")</f>
        <v>High Discount</v>
      </c>
      <c r="K162" s="43">
        <f t="shared" ref="K162:K193" ca="1" si="11">NOW()</f>
        <v>46081.56108472222</v>
      </c>
      <c r="L162" s="42" t="str">
        <f>IF(Table1[Sales]&gt;1000,"High purchase","Normal purchase")</f>
        <v>High purchase</v>
      </c>
      <c r="M162" s="49">
        <f>Table1[[#This Row],[Profit]]/Table1[[#This Row],[Sales]]</f>
        <v>0.40000123257447834</v>
      </c>
    </row>
    <row r="163" spans="1:13" ht="15" thickBot="1" x14ac:dyDescent="0.35">
      <c r="A163" s="4" t="s">
        <v>75</v>
      </c>
      <c r="B163" s="1" t="s">
        <v>48</v>
      </c>
      <c r="C163" s="1" t="s">
        <v>24</v>
      </c>
      <c r="D163" s="1" t="s">
        <v>12</v>
      </c>
      <c r="E163" s="31">
        <v>640.64</v>
      </c>
      <c r="F163" s="2">
        <v>11</v>
      </c>
      <c r="G163" s="2">
        <v>0.2</v>
      </c>
      <c r="H163" s="3">
        <v>45678</v>
      </c>
      <c r="I163" s="35">
        <v>205</v>
      </c>
      <c r="J163" s="13" t="str">
        <f t="shared" si="10"/>
        <v>High Discount</v>
      </c>
      <c r="K163" s="43">
        <f t="shared" ca="1" si="11"/>
        <v>46081.56108472222</v>
      </c>
      <c r="L163" s="42" t="str">
        <f>IF(Table1[Sales]&gt;1000,"High purchase","Normal purchase")</f>
        <v>Normal purchase</v>
      </c>
      <c r="M163" s="49">
        <f>Table1[[#This Row],[Profit]]/Table1[[#This Row],[Sales]]</f>
        <v>0.31999250749250752</v>
      </c>
    </row>
    <row r="164" spans="1:13" ht="15" thickBot="1" x14ac:dyDescent="0.35">
      <c r="A164" s="4" t="s">
        <v>22</v>
      </c>
      <c r="B164" s="1" t="s">
        <v>43</v>
      </c>
      <c r="C164" s="1" t="s">
        <v>11</v>
      </c>
      <c r="D164" s="1" t="s">
        <v>15</v>
      </c>
      <c r="E164" s="31">
        <v>585.16</v>
      </c>
      <c r="F164" s="2">
        <v>17</v>
      </c>
      <c r="G164" s="2">
        <v>0.1</v>
      </c>
      <c r="H164" s="3">
        <v>45684</v>
      </c>
      <c r="I164" s="35">
        <v>263.32</v>
      </c>
      <c r="J164" s="13" t="str">
        <f t="shared" si="10"/>
        <v>Low Discount</v>
      </c>
      <c r="K164" s="43">
        <f t="shared" ca="1" si="11"/>
        <v>46081.56108472222</v>
      </c>
      <c r="L164" s="42" t="str">
        <f>IF(Table1[Sales]&gt;1000,"High purchase","Normal purchase")</f>
        <v>Normal purchase</v>
      </c>
      <c r="M164" s="49">
        <f>Table1[[#This Row],[Profit]]/Table1[[#This Row],[Sales]]</f>
        <v>0.44999658213138288</v>
      </c>
    </row>
    <row r="165" spans="1:13" ht="15" thickBot="1" x14ac:dyDescent="0.35">
      <c r="A165" s="4" t="s">
        <v>22</v>
      </c>
      <c r="B165" s="1" t="s">
        <v>31</v>
      </c>
      <c r="C165" s="1" t="s">
        <v>18</v>
      </c>
      <c r="D165" s="1" t="s">
        <v>15</v>
      </c>
      <c r="E165" s="31">
        <v>1109.98</v>
      </c>
      <c r="F165" s="2">
        <v>5</v>
      </c>
      <c r="G165" s="2">
        <v>0.2</v>
      </c>
      <c r="H165" s="3">
        <v>45690</v>
      </c>
      <c r="I165" s="35">
        <v>443.99</v>
      </c>
      <c r="J165" s="13" t="str">
        <f t="shared" si="10"/>
        <v>High Discount</v>
      </c>
      <c r="K165" s="43">
        <f t="shared" ca="1" si="11"/>
        <v>46081.56108472222</v>
      </c>
      <c r="L165" s="42" t="str">
        <f>IF(Table1[Sales]&gt;1000,"High purchase","Normal purchase")</f>
        <v>High purchase</v>
      </c>
      <c r="M165" s="49">
        <f>Table1[[#This Row],[Profit]]/Table1[[#This Row],[Sales]]</f>
        <v>0.39999819816573273</v>
      </c>
    </row>
    <row r="166" spans="1:13" ht="15" thickBot="1" x14ac:dyDescent="0.35">
      <c r="A166" s="4" t="s">
        <v>58</v>
      </c>
      <c r="B166" s="1" t="s">
        <v>45</v>
      </c>
      <c r="C166" s="1" t="s">
        <v>18</v>
      </c>
      <c r="D166" s="1" t="s">
        <v>12</v>
      </c>
      <c r="E166" s="31">
        <v>1098.08</v>
      </c>
      <c r="F166" s="2">
        <v>9</v>
      </c>
      <c r="G166" s="2">
        <v>0.1</v>
      </c>
      <c r="H166" s="3">
        <v>45692</v>
      </c>
      <c r="I166" s="35">
        <v>395.31</v>
      </c>
      <c r="J166" s="13" t="str">
        <f t="shared" si="10"/>
        <v>Low Discount</v>
      </c>
      <c r="K166" s="43">
        <f t="shared" ca="1" si="11"/>
        <v>46081.56108472222</v>
      </c>
      <c r="L166" s="42" t="str">
        <f>IF(Table1[Sales]&gt;1000,"High purchase","Normal purchase")</f>
        <v>High purchase</v>
      </c>
      <c r="M166" s="49">
        <f>Table1[[#This Row],[Profit]]/Table1[[#This Row],[Sales]]</f>
        <v>0.36000109281655257</v>
      </c>
    </row>
    <row r="167" spans="1:13" ht="15" thickBot="1" x14ac:dyDescent="0.35">
      <c r="A167" s="4" t="s">
        <v>65</v>
      </c>
      <c r="B167" s="1" t="s">
        <v>48</v>
      </c>
      <c r="C167" s="1" t="s">
        <v>11</v>
      </c>
      <c r="D167" s="1" t="s">
        <v>39</v>
      </c>
      <c r="E167" s="31">
        <v>827.25</v>
      </c>
      <c r="F167" s="2">
        <v>7</v>
      </c>
      <c r="G167" s="2">
        <v>0.1</v>
      </c>
      <c r="H167" s="3">
        <v>45693</v>
      </c>
      <c r="I167" s="35">
        <v>335.04</v>
      </c>
      <c r="J167" s="13" t="str">
        <f t="shared" si="10"/>
        <v>Low Discount</v>
      </c>
      <c r="K167" s="43">
        <f t="shared" ca="1" si="11"/>
        <v>46081.56108472222</v>
      </c>
      <c r="L167" s="42" t="str">
        <f>IF(Table1[Sales]&gt;1000,"High purchase","Normal purchase")</f>
        <v>Normal purchase</v>
      </c>
      <c r="M167" s="49">
        <f>Table1[[#This Row],[Profit]]/Table1[[#This Row],[Sales]]</f>
        <v>0.40500453309156847</v>
      </c>
    </row>
    <row r="168" spans="1:13" ht="15" thickBot="1" x14ac:dyDescent="0.35">
      <c r="A168" s="4" t="s">
        <v>70</v>
      </c>
      <c r="B168" s="1" t="s">
        <v>29</v>
      </c>
      <c r="C168" s="1" t="s">
        <v>34</v>
      </c>
      <c r="D168" s="1" t="s">
        <v>15</v>
      </c>
      <c r="E168" s="31">
        <v>741.88</v>
      </c>
      <c r="F168" s="2">
        <v>16</v>
      </c>
      <c r="G168" s="2">
        <v>0.1</v>
      </c>
      <c r="H168" s="3">
        <v>45695</v>
      </c>
      <c r="I168" s="35">
        <v>333.85</v>
      </c>
      <c r="J168" s="13" t="str">
        <f t="shared" si="10"/>
        <v>Low Discount</v>
      </c>
      <c r="K168" s="43">
        <f t="shared" ca="1" si="11"/>
        <v>46081.56108472222</v>
      </c>
      <c r="L168" s="42" t="str">
        <f>IF(Table1[Sales]&gt;1000,"High purchase","Normal purchase")</f>
        <v>Normal purchase</v>
      </c>
      <c r="M168" s="49">
        <f>Table1[[#This Row],[Profit]]/Table1[[#This Row],[Sales]]</f>
        <v>0.45000539170755383</v>
      </c>
    </row>
    <row r="169" spans="1:13" ht="15" thickBot="1" x14ac:dyDescent="0.35">
      <c r="A169" s="4" t="s">
        <v>72</v>
      </c>
      <c r="B169" s="1" t="s">
        <v>10</v>
      </c>
      <c r="C169" s="1" t="s">
        <v>18</v>
      </c>
      <c r="D169" s="1" t="s">
        <v>39</v>
      </c>
      <c r="E169" s="31">
        <v>1311.26</v>
      </c>
      <c r="F169" s="2">
        <v>6</v>
      </c>
      <c r="G169" s="2">
        <v>0.1</v>
      </c>
      <c r="H169" s="3">
        <v>45698</v>
      </c>
      <c r="I169" s="35">
        <v>531.05999999999995</v>
      </c>
      <c r="J169" s="13" t="str">
        <f t="shared" si="10"/>
        <v>Low Discount</v>
      </c>
      <c r="K169" s="43">
        <f t="shared" ca="1" si="11"/>
        <v>46081.56108472222</v>
      </c>
      <c r="L169" s="42" t="str">
        <f>IF(Table1[Sales]&gt;1000,"High purchase","Normal purchase")</f>
        <v>High purchase</v>
      </c>
      <c r="M169" s="49">
        <f>Table1[[#This Row],[Profit]]/Table1[[#This Row],[Sales]]</f>
        <v>0.40499977121242159</v>
      </c>
    </row>
    <row r="170" spans="1:13" ht="15" thickBot="1" x14ac:dyDescent="0.35">
      <c r="A170" s="4" t="s">
        <v>72</v>
      </c>
      <c r="B170" s="1" t="s">
        <v>31</v>
      </c>
      <c r="C170" s="1" t="s">
        <v>20</v>
      </c>
      <c r="D170" s="1" t="s">
        <v>39</v>
      </c>
      <c r="E170" s="31">
        <v>573.32000000000005</v>
      </c>
      <c r="F170" s="2">
        <v>19</v>
      </c>
      <c r="G170" s="2">
        <v>0.1</v>
      </c>
      <c r="H170" s="3">
        <v>45703</v>
      </c>
      <c r="I170" s="35">
        <v>232.19</v>
      </c>
      <c r="J170" s="13" t="str">
        <f t="shared" si="10"/>
        <v>Low Discount</v>
      </c>
      <c r="K170" s="43">
        <f t="shared" ca="1" si="11"/>
        <v>46081.56108472222</v>
      </c>
      <c r="L170" s="42" t="str">
        <f>IF(Table1[Sales]&gt;1000,"High purchase","Normal purchase")</f>
        <v>Normal purchase</v>
      </c>
      <c r="M170" s="49">
        <f>Table1[[#This Row],[Profit]]/Table1[[#This Row],[Sales]]</f>
        <v>0.40499197655759434</v>
      </c>
    </row>
    <row r="171" spans="1:13" ht="15" thickBot="1" x14ac:dyDescent="0.35">
      <c r="A171" s="4" t="s">
        <v>52</v>
      </c>
      <c r="B171" s="1" t="s">
        <v>23</v>
      </c>
      <c r="C171" s="1" t="s">
        <v>11</v>
      </c>
      <c r="D171" s="1" t="s">
        <v>21</v>
      </c>
      <c r="E171" s="31">
        <v>1115.22</v>
      </c>
      <c r="F171" s="2">
        <v>14</v>
      </c>
      <c r="G171" s="2">
        <v>0.2</v>
      </c>
      <c r="H171" s="3">
        <v>45705</v>
      </c>
      <c r="I171" s="35">
        <v>223.04</v>
      </c>
      <c r="J171" s="13" t="str">
        <f t="shared" si="10"/>
        <v>High Discount</v>
      </c>
      <c r="K171" s="43">
        <f t="shared" ca="1" si="11"/>
        <v>46081.56108472222</v>
      </c>
      <c r="L171" s="42" t="str">
        <f>IF(Table1[Sales]&gt;1000,"High purchase","Normal purchase")</f>
        <v>High purchase</v>
      </c>
      <c r="M171" s="49">
        <f>Table1[[#This Row],[Profit]]/Table1[[#This Row],[Sales]]</f>
        <v>0.19999641326375064</v>
      </c>
    </row>
    <row r="172" spans="1:13" ht="15" thickBot="1" x14ac:dyDescent="0.35">
      <c r="A172" s="4" t="s">
        <v>13</v>
      </c>
      <c r="B172" s="1" t="s">
        <v>45</v>
      </c>
      <c r="C172" s="1" t="s">
        <v>24</v>
      </c>
      <c r="D172" s="1" t="s">
        <v>15</v>
      </c>
      <c r="E172" s="31">
        <v>845.84</v>
      </c>
      <c r="F172" s="2">
        <v>4</v>
      </c>
      <c r="G172" s="2">
        <v>0</v>
      </c>
      <c r="H172" s="3">
        <v>45707</v>
      </c>
      <c r="I172" s="35">
        <v>422.92</v>
      </c>
      <c r="J172" s="13" t="str">
        <f t="shared" si="10"/>
        <v>No Discount</v>
      </c>
      <c r="K172" s="43">
        <f t="shared" ca="1" si="11"/>
        <v>46081.56108472222</v>
      </c>
      <c r="L172" s="42" t="str">
        <f>IF(Table1[Sales]&gt;1000,"High purchase","Normal purchase")</f>
        <v>Normal purchase</v>
      </c>
      <c r="M172" s="49">
        <f>Table1[[#This Row],[Profit]]/Table1[[#This Row],[Sales]]</f>
        <v>0.5</v>
      </c>
    </row>
    <row r="173" spans="1:13" ht="15" thickBot="1" x14ac:dyDescent="0.35">
      <c r="A173" s="4" t="s">
        <v>30</v>
      </c>
      <c r="B173" s="1" t="s">
        <v>55</v>
      </c>
      <c r="C173" s="1" t="s">
        <v>11</v>
      </c>
      <c r="D173" s="1" t="s">
        <v>21</v>
      </c>
      <c r="E173" s="31">
        <v>1029.8</v>
      </c>
      <c r="F173" s="2">
        <v>3</v>
      </c>
      <c r="G173" s="2">
        <v>0</v>
      </c>
      <c r="H173" s="3">
        <v>45708</v>
      </c>
      <c r="I173" s="35">
        <v>257.45</v>
      </c>
      <c r="J173" s="13" t="str">
        <f t="shared" si="10"/>
        <v>No Discount</v>
      </c>
      <c r="K173" s="43">
        <f t="shared" ca="1" si="11"/>
        <v>46081.56108472222</v>
      </c>
      <c r="L173" s="42" t="str">
        <f>IF(Table1[Sales]&gt;1000,"High purchase","Normal purchase")</f>
        <v>High purchase</v>
      </c>
      <c r="M173" s="49">
        <f>Table1[[#This Row],[Profit]]/Table1[[#This Row],[Sales]]</f>
        <v>0.25</v>
      </c>
    </row>
    <row r="174" spans="1:13" ht="15" thickBot="1" x14ac:dyDescent="0.35">
      <c r="A174" s="4" t="s">
        <v>32</v>
      </c>
      <c r="B174" s="1" t="s">
        <v>31</v>
      </c>
      <c r="C174" s="1" t="s">
        <v>24</v>
      </c>
      <c r="D174" s="1" t="s">
        <v>12</v>
      </c>
      <c r="E174" s="31">
        <v>1189.83</v>
      </c>
      <c r="F174" s="2">
        <v>2</v>
      </c>
      <c r="G174" s="2">
        <v>0.2</v>
      </c>
      <c r="H174" s="3">
        <v>45709</v>
      </c>
      <c r="I174" s="35">
        <v>380.75</v>
      </c>
      <c r="J174" s="13" t="str">
        <f t="shared" si="10"/>
        <v>High Discount</v>
      </c>
      <c r="K174" s="43">
        <f t="shared" ca="1" si="11"/>
        <v>46081.56108472222</v>
      </c>
      <c r="L174" s="42" t="str">
        <f>IF(Table1[Sales]&gt;1000,"High purchase","Normal purchase")</f>
        <v>High purchase</v>
      </c>
      <c r="M174" s="49">
        <f>Table1[[#This Row],[Profit]]/Table1[[#This Row],[Sales]]</f>
        <v>0.32000369800727835</v>
      </c>
    </row>
    <row r="175" spans="1:13" ht="15" thickBot="1" x14ac:dyDescent="0.35">
      <c r="A175" s="4" t="s">
        <v>67</v>
      </c>
      <c r="B175" s="1" t="s">
        <v>43</v>
      </c>
      <c r="C175" s="1" t="s">
        <v>20</v>
      </c>
      <c r="D175" s="1" t="s">
        <v>12</v>
      </c>
      <c r="E175" s="31">
        <v>704.28</v>
      </c>
      <c r="F175" s="2">
        <v>15</v>
      </c>
      <c r="G175" s="2">
        <v>0.2</v>
      </c>
      <c r="H175" s="3">
        <v>45712</v>
      </c>
      <c r="I175" s="35">
        <v>225.37</v>
      </c>
      <c r="J175" s="13" t="str">
        <f t="shared" si="10"/>
        <v>High Discount</v>
      </c>
      <c r="K175" s="43">
        <f t="shared" ca="1" si="11"/>
        <v>46081.56108472222</v>
      </c>
      <c r="L175" s="42" t="str">
        <f>IF(Table1[Sales]&gt;1000,"High purchase","Normal purchase")</f>
        <v>Normal purchase</v>
      </c>
      <c r="M175" s="49">
        <f>Table1[[#This Row],[Profit]]/Table1[[#This Row],[Sales]]</f>
        <v>0.32000056795592663</v>
      </c>
    </row>
    <row r="176" spans="1:13" ht="15" thickBot="1" x14ac:dyDescent="0.35">
      <c r="A176" s="4" t="s">
        <v>65</v>
      </c>
      <c r="B176" s="1" t="s">
        <v>47</v>
      </c>
      <c r="C176" s="1" t="s">
        <v>34</v>
      </c>
      <c r="D176" s="1" t="s">
        <v>39</v>
      </c>
      <c r="E176" s="31">
        <v>1618.22</v>
      </c>
      <c r="F176" s="2">
        <v>12</v>
      </c>
      <c r="G176" s="2">
        <v>0.2</v>
      </c>
      <c r="H176" s="3">
        <v>45712</v>
      </c>
      <c r="I176" s="35">
        <v>582.55999999999995</v>
      </c>
      <c r="J176" s="13" t="str">
        <f t="shared" si="10"/>
        <v>High Discount</v>
      </c>
      <c r="K176" s="43">
        <f t="shared" ca="1" si="11"/>
        <v>46081.56108472222</v>
      </c>
      <c r="L176" s="42" t="str">
        <f>IF(Table1[Sales]&gt;1000,"High purchase","Normal purchase")</f>
        <v>High purchase</v>
      </c>
      <c r="M176" s="49">
        <f>Table1[[#This Row],[Profit]]/Table1[[#This Row],[Sales]]</f>
        <v>0.36000049437035753</v>
      </c>
    </row>
    <row r="177" spans="1:13" ht="15" thickBot="1" x14ac:dyDescent="0.35">
      <c r="A177" s="4" t="s">
        <v>73</v>
      </c>
      <c r="B177" s="1" t="s">
        <v>53</v>
      </c>
      <c r="C177" s="1" t="s">
        <v>34</v>
      </c>
      <c r="D177" s="1" t="s">
        <v>12</v>
      </c>
      <c r="E177" s="31">
        <v>1014.43</v>
      </c>
      <c r="F177" s="2">
        <v>2</v>
      </c>
      <c r="G177" s="2">
        <v>0.15</v>
      </c>
      <c r="H177" s="3">
        <v>45713</v>
      </c>
      <c r="I177" s="35">
        <v>344.91</v>
      </c>
      <c r="J177" s="13" t="str">
        <f t="shared" si="10"/>
        <v>Medium Discount</v>
      </c>
      <c r="K177" s="43">
        <f t="shared" ca="1" si="11"/>
        <v>46081.56108472222</v>
      </c>
      <c r="L177" s="42" t="str">
        <f>IF(Table1[Sales]&gt;1000,"High purchase","Normal purchase")</f>
        <v>High purchase</v>
      </c>
      <c r="M177" s="49">
        <f>Table1[[#This Row],[Profit]]/Table1[[#This Row],[Sales]]</f>
        <v>0.34000374594599925</v>
      </c>
    </row>
    <row r="178" spans="1:13" ht="15" thickBot="1" x14ac:dyDescent="0.35">
      <c r="A178" s="4" t="s">
        <v>75</v>
      </c>
      <c r="B178" s="1" t="s">
        <v>31</v>
      </c>
      <c r="C178" s="1" t="s">
        <v>34</v>
      </c>
      <c r="D178" s="1" t="s">
        <v>15</v>
      </c>
      <c r="E178" s="31">
        <v>826.97</v>
      </c>
      <c r="F178" s="2">
        <v>18</v>
      </c>
      <c r="G178" s="2">
        <v>0.2</v>
      </c>
      <c r="H178" s="3">
        <v>45715</v>
      </c>
      <c r="I178" s="35">
        <v>330.79</v>
      </c>
      <c r="J178" s="13" t="str">
        <f t="shared" si="10"/>
        <v>High Discount</v>
      </c>
      <c r="K178" s="43">
        <f t="shared" ca="1" si="11"/>
        <v>46081.56108472222</v>
      </c>
      <c r="L178" s="42" t="str">
        <f>IF(Table1[Sales]&gt;1000,"High purchase","Normal purchase")</f>
        <v>Normal purchase</v>
      </c>
      <c r="M178" s="49">
        <f>Table1[[#This Row],[Profit]]/Table1[[#This Row],[Sales]]</f>
        <v>0.40000241846741719</v>
      </c>
    </row>
    <row r="179" spans="1:13" ht="15" thickBot="1" x14ac:dyDescent="0.35">
      <c r="A179" s="4" t="s">
        <v>16</v>
      </c>
      <c r="B179" s="1" t="s">
        <v>31</v>
      </c>
      <c r="C179" s="1" t="s">
        <v>34</v>
      </c>
      <c r="D179" s="1" t="s">
        <v>15</v>
      </c>
      <c r="E179" s="31">
        <v>1022.23</v>
      </c>
      <c r="F179" s="2">
        <v>8</v>
      </c>
      <c r="G179" s="2">
        <v>0.1</v>
      </c>
      <c r="H179" s="3">
        <v>45717</v>
      </c>
      <c r="I179" s="35">
        <v>460</v>
      </c>
      <c r="J179" s="13" t="str">
        <f t="shared" si="10"/>
        <v>Low Discount</v>
      </c>
      <c r="K179" s="43">
        <f t="shared" ca="1" si="11"/>
        <v>46081.56108472222</v>
      </c>
      <c r="L179" s="42" t="str">
        <f>IF(Table1[Sales]&gt;1000,"High purchase","Normal purchase")</f>
        <v>High purchase</v>
      </c>
      <c r="M179" s="49">
        <f>Table1[[#This Row],[Profit]]/Table1[[#This Row],[Sales]]</f>
        <v>0.44999657611300781</v>
      </c>
    </row>
    <row r="180" spans="1:13" ht="15" thickBot="1" x14ac:dyDescent="0.35">
      <c r="A180" s="4" t="s">
        <v>72</v>
      </c>
      <c r="B180" s="1" t="s">
        <v>29</v>
      </c>
      <c r="C180" s="1" t="s">
        <v>18</v>
      </c>
      <c r="D180" s="1" t="s">
        <v>12</v>
      </c>
      <c r="E180" s="31">
        <v>1099.69</v>
      </c>
      <c r="F180" s="2">
        <v>6</v>
      </c>
      <c r="G180" s="2">
        <v>0</v>
      </c>
      <c r="H180" s="3">
        <v>45718</v>
      </c>
      <c r="I180" s="35">
        <v>439.88</v>
      </c>
      <c r="J180" s="13" t="str">
        <f t="shared" si="10"/>
        <v>No Discount</v>
      </c>
      <c r="K180" s="43">
        <f t="shared" ca="1" si="11"/>
        <v>46081.56108472222</v>
      </c>
      <c r="L180" s="42" t="str">
        <f>IF(Table1[Sales]&gt;1000,"High purchase","Normal purchase")</f>
        <v>High purchase</v>
      </c>
      <c r="M180" s="49">
        <f>Table1[[#This Row],[Profit]]/Table1[[#This Row],[Sales]]</f>
        <v>0.40000363738871864</v>
      </c>
    </row>
    <row r="181" spans="1:13" ht="15" thickBot="1" x14ac:dyDescent="0.35">
      <c r="A181" s="4" t="s">
        <v>52</v>
      </c>
      <c r="B181" s="1" t="s">
        <v>64</v>
      </c>
      <c r="C181" s="1" t="s">
        <v>24</v>
      </c>
      <c r="D181" s="1" t="s">
        <v>12</v>
      </c>
      <c r="E181" s="31">
        <v>710.52</v>
      </c>
      <c r="F181" s="2">
        <v>8</v>
      </c>
      <c r="G181" s="2">
        <v>0.1</v>
      </c>
      <c r="H181" s="3">
        <v>45721</v>
      </c>
      <c r="I181" s="35">
        <v>255.79</v>
      </c>
      <c r="J181" s="13" t="str">
        <f t="shared" si="10"/>
        <v>Low Discount</v>
      </c>
      <c r="K181" s="43">
        <f t="shared" ca="1" si="11"/>
        <v>46081.56108472222</v>
      </c>
      <c r="L181" s="42" t="str">
        <f>IF(Table1[Sales]&gt;1000,"High purchase","Normal purchase")</f>
        <v>Normal purchase</v>
      </c>
      <c r="M181" s="49">
        <f>Table1[[#This Row],[Profit]]/Table1[[#This Row],[Sales]]</f>
        <v>0.36000394077576986</v>
      </c>
    </row>
    <row r="182" spans="1:13" ht="15" thickBot="1" x14ac:dyDescent="0.35">
      <c r="A182" s="4" t="s">
        <v>52</v>
      </c>
      <c r="B182" s="1" t="s">
        <v>59</v>
      </c>
      <c r="C182" s="1" t="s">
        <v>24</v>
      </c>
      <c r="D182" s="1" t="s">
        <v>12</v>
      </c>
      <c r="E182" s="31">
        <v>499.18</v>
      </c>
      <c r="F182" s="2">
        <v>15</v>
      </c>
      <c r="G182" s="2">
        <v>0.2</v>
      </c>
      <c r="H182" s="3">
        <v>45724</v>
      </c>
      <c r="I182" s="35">
        <v>159.74</v>
      </c>
      <c r="J182" s="13" t="str">
        <f t="shared" si="10"/>
        <v>High Discount</v>
      </c>
      <c r="K182" s="43">
        <f t="shared" ca="1" si="11"/>
        <v>46081.56108472222</v>
      </c>
      <c r="L182" s="42" t="str">
        <f>IF(Table1[Sales]&gt;1000,"High purchase","Normal purchase")</f>
        <v>Normal purchase</v>
      </c>
      <c r="M182" s="49">
        <f>Table1[[#This Row],[Profit]]/Table1[[#This Row],[Sales]]</f>
        <v>0.3200048078849313</v>
      </c>
    </row>
    <row r="183" spans="1:13" ht="15" thickBot="1" x14ac:dyDescent="0.35">
      <c r="A183" s="4" t="s">
        <v>37</v>
      </c>
      <c r="B183" s="1" t="s">
        <v>38</v>
      </c>
      <c r="C183" s="1" t="s">
        <v>20</v>
      </c>
      <c r="D183" s="1" t="s">
        <v>12</v>
      </c>
      <c r="E183" s="31">
        <v>1064.19</v>
      </c>
      <c r="F183" s="2">
        <v>18</v>
      </c>
      <c r="G183" s="2">
        <v>0.05</v>
      </c>
      <c r="H183" s="3">
        <v>45725</v>
      </c>
      <c r="I183" s="35">
        <v>404.39</v>
      </c>
      <c r="J183" s="13" t="str">
        <f t="shared" si="10"/>
        <v>Low Discount</v>
      </c>
      <c r="K183" s="43">
        <f t="shared" ca="1" si="11"/>
        <v>46081.56108472222</v>
      </c>
      <c r="L183" s="42" t="str">
        <f>IF(Table1[Sales]&gt;1000,"High purchase","Normal purchase")</f>
        <v>High purchase</v>
      </c>
      <c r="M183" s="49">
        <f>Table1[[#This Row],[Profit]]/Table1[[#This Row],[Sales]]</f>
        <v>0.37999793269998777</v>
      </c>
    </row>
    <row r="184" spans="1:13" ht="15" thickBot="1" x14ac:dyDescent="0.35">
      <c r="A184" s="4" t="s">
        <v>67</v>
      </c>
      <c r="B184" s="1" t="s">
        <v>38</v>
      </c>
      <c r="C184" s="1" t="s">
        <v>18</v>
      </c>
      <c r="D184" s="1" t="s">
        <v>39</v>
      </c>
      <c r="E184" s="31">
        <v>438.76</v>
      </c>
      <c r="F184" s="2">
        <v>18</v>
      </c>
      <c r="G184" s="2">
        <v>0.05</v>
      </c>
      <c r="H184" s="3">
        <v>45726</v>
      </c>
      <c r="I184" s="35">
        <v>187.57</v>
      </c>
      <c r="J184" s="13" t="str">
        <f t="shared" si="10"/>
        <v>Low Discount</v>
      </c>
      <c r="K184" s="43">
        <f t="shared" ca="1" si="11"/>
        <v>46081.56108472222</v>
      </c>
      <c r="L184" s="42" t="str">
        <f>IF(Table1[Sales]&gt;1000,"High purchase","Normal purchase")</f>
        <v>Normal purchase</v>
      </c>
      <c r="M184" s="49">
        <f>Table1[[#This Row],[Profit]]/Table1[[#This Row],[Sales]]</f>
        <v>0.42750022791503328</v>
      </c>
    </row>
    <row r="185" spans="1:13" ht="15" thickBot="1" x14ac:dyDescent="0.35">
      <c r="A185" s="4" t="s">
        <v>41</v>
      </c>
      <c r="B185" s="1" t="s">
        <v>55</v>
      </c>
      <c r="C185" s="1" t="s">
        <v>11</v>
      </c>
      <c r="D185" s="1" t="s">
        <v>15</v>
      </c>
      <c r="E185" s="31">
        <v>864.98</v>
      </c>
      <c r="F185" s="2">
        <v>2</v>
      </c>
      <c r="G185" s="2">
        <v>0.05</v>
      </c>
      <c r="H185" s="3">
        <v>45727</v>
      </c>
      <c r="I185" s="35">
        <v>410.87</v>
      </c>
      <c r="J185" s="13" t="str">
        <f t="shared" si="10"/>
        <v>Low Discount</v>
      </c>
      <c r="K185" s="43">
        <f t="shared" ca="1" si="11"/>
        <v>46081.56108472222</v>
      </c>
      <c r="L185" s="42" t="str">
        <f>IF(Table1[Sales]&gt;1000,"High purchase","Normal purchase")</f>
        <v>Normal purchase</v>
      </c>
      <c r="M185" s="49">
        <f>Table1[[#This Row],[Profit]]/Table1[[#This Row],[Sales]]</f>
        <v>0.47500520243242617</v>
      </c>
    </row>
    <row r="186" spans="1:13" ht="15" thickBot="1" x14ac:dyDescent="0.35">
      <c r="A186" s="4" t="s">
        <v>57</v>
      </c>
      <c r="B186" s="1" t="s">
        <v>55</v>
      </c>
      <c r="C186" s="1" t="s">
        <v>11</v>
      </c>
      <c r="D186" s="1" t="s">
        <v>27</v>
      </c>
      <c r="E186" s="31">
        <v>984.93</v>
      </c>
      <c r="F186" s="2">
        <v>14</v>
      </c>
      <c r="G186" s="2">
        <v>0.2</v>
      </c>
      <c r="H186" s="3">
        <v>45733</v>
      </c>
      <c r="I186" s="35">
        <v>275.77999999999997</v>
      </c>
      <c r="J186" s="13" t="str">
        <f t="shared" si="10"/>
        <v>High Discount</v>
      </c>
      <c r="K186" s="43">
        <f t="shared" ca="1" si="11"/>
        <v>46081.56108472222</v>
      </c>
      <c r="L186" s="42" t="str">
        <f>IF(Table1[Sales]&gt;1000,"High purchase","Normal purchase")</f>
        <v>Normal purchase</v>
      </c>
      <c r="M186" s="49">
        <f>Table1[[#This Row],[Profit]]/Table1[[#This Row],[Sales]]</f>
        <v>0.27999959387976808</v>
      </c>
    </row>
    <row r="187" spans="1:13" ht="15" thickBot="1" x14ac:dyDescent="0.35">
      <c r="A187" s="4" t="s">
        <v>25</v>
      </c>
      <c r="B187" s="1" t="s">
        <v>55</v>
      </c>
      <c r="C187" s="1" t="s">
        <v>11</v>
      </c>
      <c r="D187" s="1" t="s">
        <v>15</v>
      </c>
      <c r="E187" s="31">
        <v>1493.49</v>
      </c>
      <c r="F187" s="2">
        <v>18</v>
      </c>
      <c r="G187" s="2">
        <v>0</v>
      </c>
      <c r="H187" s="3">
        <v>45734</v>
      </c>
      <c r="I187" s="35">
        <v>746.74</v>
      </c>
      <c r="J187" s="13" t="str">
        <f t="shared" si="10"/>
        <v>No Discount</v>
      </c>
      <c r="K187" s="43">
        <f t="shared" ca="1" si="11"/>
        <v>46081.56108472222</v>
      </c>
      <c r="L187" s="42" t="str">
        <f>IF(Table1[Sales]&gt;1000,"High purchase","Normal purchase")</f>
        <v>High purchase</v>
      </c>
      <c r="M187" s="49">
        <f>Table1[[#This Row],[Profit]]/Table1[[#This Row],[Sales]]</f>
        <v>0.499996652136941</v>
      </c>
    </row>
    <row r="188" spans="1:13" ht="15" thickBot="1" x14ac:dyDescent="0.35">
      <c r="A188" s="4" t="s">
        <v>32</v>
      </c>
      <c r="B188" s="1" t="s">
        <v>53</v>
      </c>
      <c r="C188" s="1" t="s">
        <v>20</v>
      </c>
      <c r="D188" s="1" t="s">
        <v>15</v>
      </c>
      <c r="E188" s="31">
        <v>689.43</v>
      </c>
      <c r="F188" s="2">
        <v>9</v>
      </c>
      <c r="G188" s="2">
        <v>0.1</v>
      </c>
      <c r="H188" s="3">
        <v>45736</v>
      </c>
      <c r="I188" s="35">
        <v>310.24</v>
      </c>
      <c r="J188" s="13" t="str">
        <f t="shared" si="10"/>
        <v>Low Discount</v>
      </c>
      <c r="K188" s="43">
        <f t="shared" ca="1" si="11"/>
        <v>46081.56108472222</v>
      </c>
      <c r="L188" s="42" t="str">
        <f>IF(Table1[Sales]&gt;1000,"High purchase","Normal purchase")</f>
        <v>Normal purchase</v>
      </c>
      <c r="M188" s="49">
        <f>Table1[[#This Row],[Profit]]/Table1[[#This Row],[Sales]]</f>
        <v>0.44999492334247138</v>
      </c>
    </row>
    <row r="189" spans="1:13" ht="15" thickBot="1" x14ac:dyDescent="0.35">
      <c r="A189" s="4" t="s">
        <v>40</v>
      </c>
      <c r="B189" s="1" t="s">
        <v>59</v>
      </c>
      <c r="C189" s="1" t="s">
        <v>20</v>
      </c>
      <c r="D189" s="1" t="s">
        <v>15</v>
      </c>
      <c r="E189" s="31">
        <v>682.24</v>
      </c>
      <c r="F189" s="2">
        <v>1</v>
      </c>
      <c r="G189" s="2">
        <v>0</v>
      </c>
      <c r="H189" s="3">
        <v>45738</v>
      </c>
      <c r="I189" s="35">
        <v>341.12</v>
      </c>
      <c r="J189" s="13" t="str">
        <f t="shared" si="10"/>
        <v>No Discount</v>
      </c>
      <c r="K189" s="43">
        <f t="shared" ca="1" si="11"/>
        <v>46081.56108472222</v>
      </c>
      <c r="L189" s="42" t="str">
        <f>IF(Table1[Sales]&gt;1000,"High purchase","Normal purchase")</f>
        <v>Normal purchase</v>
      </c>
      <c r="M189" s="49">
        <f>Table1[[#This Row],[Profit]]/Table1[[#This Row],[Sales]]</f>
        <v>0.5</v>
      </c>
    </row>
    <row r="190" spans="1:13" ht="15" thickBot="1" x14ac:dyDescent="0.35">
      <c r="A190" s="4" t="s">
        <v>41</v>
      </c>
      <c r="B190" s="1" t="s">
        <v>26</v>
      </c>
      <c r="C190" s="1" t="s">
        <v>24</v>
      </c>
      <c r="D190" s="1" t="s">
        <v>21</v>
      </c>
      <c r="E190" s="31">
        <v>458.54</v>
      </c>
      <c r="F190" s="2">
        <v>15</v>
      </c>
      <c r="G190" s="2">
        <v>0.2</v>
      </c>
      <c r="H190" s="3">
        <v>45741</v>
      </c>
      <c r="I190" s="35">
        <v>91.71</v>
      </c>
      <c r="J190" s="13" t="str">
        <f t="shared" si="10"/>
        <v>High Discount</v>
      </c>
      <c r="K190" s="43">
        <f t="shared" ca="1" si="11"/>
        <v>46081.56108472222</v>
      </c>
      <c r="L190" s="42" t="str">
        <f>IF(Table1[Sales]&gt;1000,"High purchase","Normal purchase")</f>
        <v>Normal purchase</v>
      </c>
      <c r="M190" s="49">
        <f>Table1[[#This Row],[Profit]]/Table1[[#This Row],[Sales]]</f>
        <v>0.20000436166964711</v>
      </c>
    </row>
    <row r="191" spans="1:13" ht="15" thickBot="1" x14ac:dyDescent="0.35">
      <c r="A191" s="4" t="s">
        <v>32</v>
      </c>
      <c r="B191" s="1" t="s">
        <v>26</v>
      </c>
      <c r="C191" s="1" t="s">
        <v>20</v>
      </c>
      <c r="D191" s="1" t="s">
        <v>27</v>
      </c>
      <c r="E191" s="31">
        <v>1184.25</v>
      </c>
      <c r="F191" s="2">
        <v>11</v>
      </c>
      <c r="G191" s="2">
        <v>0.2</v>
      </c>
      <c r="H191" s="3">
        <v>45742</v>
      </c>
      <c r="I191" s="35">
        <v>331.59</v>
      </c>
      <c r="J191" s="13" t="str">
        <f t="shared" si="10"/>
        <v>High Discount</v>
      </c>
      <c r="K191" s="43">
        <f t="shared" ca="1" si="11"/>
        <v>46081.56108472222</v>
      </c>
      <c r="L191" s="42" t="str">
        <f>IF(Table1[Sales]&gt;1000,"High purchase","Normal purchase")</f>
        <v>High purchase</v>
      </c>
      <c r="M191" s="49">
        <f>Table1[[#This Row],[Profit]]/Table1[[#This Row],[Sales]]</f>
        <v>0.27999999999999997</v>
      </c>
    </row>
    <row r="192" spans="1:13" ht="15" thickBot="1" x14ac:dyDescent="0.35">
      <c r="A192" s="4" t="s">
        <v>25</v>
      </c>
      <c r="B192" s="1" t="s">
        <v>10</v>
      </c>
      <c r="C192" s="1" t="s">
        <v>20</v>
      </c>
      <c r="D192" s="1" t="s">
        <v>15</v>
      </c>
      <c r="E192" s="31">
        <v>762.14</v>
      </c>
      <c r="F192" s="2">
        <v>9</v>
      </c>
      <c r="G192" s="2">
        <v>0</v>
      </c>
      <c r="H192" s="3">
        <v>45743</v>
      </c>
      <c r="I192" s="35">
        <v>381.07</v>
      </c>
      <c r="J192" s="13" t="str">
        <f t="shared" si="10"/>
        <v>No Discount</v>
      </c>
      <c r="K192" s="43">
        <f t="shared" ca="1" si="11"/>
        <v>46081.56108472222</v>
      </c>
      <c r="L192" s="42" t="str">
        <f>IF(Table1[Sales]&gt;1000,"High purchase","Normal purchase")</f>
        <v>Normal purchase</v>
      </c>
      <c r="M192" s="49">
        <f>Table1[[#This Row],[Profit]]/Table1[[#This Row],[Sales]]</f>
        <v>0.5</v>
      </c>
    </row>
    <row r="193" spans="1:13" ht="15" thickBot="1" x14ac:dyDescent="0.35">
      <c r="A193" s="4" t="s">
        <v>22</v>
      </c>
      <c r="B193" s="1" t="s">
        <v>53</v>
      </c>
      <c r="C193" s="1" t="s">
        <v>24</v>
      </c>
      <c r="D193" s="1" t="s">
        <v>12</v>
      </c>
      <c r="E193" s="31">
        <v>750.71</v>
      </c>
      <c r="F193" s="2">
        <v>10</v>
      </c>
      <c r="G193" s="2">
        <v>0.15</v>
      </c>
      <c r="H193" s="3">
        <v>45743</v>
      </c>
      <c r="I193" s="35">
        <v>255.24</v>
      </c>
      <c r="J193" s="13" t="str">
        <f t="shared" si="10"/>
        <v>Medium Discount</v>
      </c>
      <c r="K193" s="43">
        <f t="shared" ca="1" si="11"/>
        <v>46081.56108472222</v>
      </c>
      <c r="L193" s="42" t="str">
        <f>IF(Table1[Sales]&gt;1000,"High purchase","Normal purchase")</f>
        <v>Normal purchase</v>
      </c>
      <c r="M193" s="49">
        <f>Table1[[#This Row],[Profit]]/Table1[[#This Row],[Sales]]</f>
        <v>0.33999813509877314</v>
      </c>
    </row>
    <row r="194" spans="1:13" ht="15" thickBot="1" x14ac:dyDescent="0.35">
      <c r="A194" s="4" t="s">
        <v>75</v>
      </c>
      <c r="B194" s="1" t="s">
        <v>71</v>
      </c>
      <c r="C194" s="1" t="s">
        <v>34</v>
      </c>
      <c r="D194" s="1" t="s">
        <v>15</v>
      </c>
      <c r="E194" s="31">
        <v>1456.94</v>
      </c>
      <c r="F194" s="2">
        <v>14</v>
      </c>
      <c r="G194" s="2">
        <v>0.05</v>
      </c>
      <c r="H194" s="3">
        <v>45745</v>
      </c>
      <c r="I194" s="35">
        <v>692.05</v>
      </c>
      <c r="J194" s="13" t="str">
        <f t="shared" ref="J194:J201" si="12">_xlfn.IFS(G194=0,"No Discount", G194&lt;=0.1,"Low Discount",G194&lt;=0.15,"Medium Discount",G194&gt;0.15,"High Discount")</f>
        <v>Low Discount</v>
      </c>
      <c r="K194" s="43">
        <f t="shared" ref="K194:K201" ca="1" si="13">NOW()</f>
        <v>46081.56108472222</v>
      </c>
      <c r="L194" s="42" t="str">
        <f>IF(Table1[Sales]&gt;1000,"High purchase","Normal purchase")</f>
        <v>High purchase</v>
      </c>
      <c r="M194" s="49">
        <f>Table1[[#This Row],[Profit]]/Table1[[#This Row],[Sales]]</f>
        <v>0.47500240229522145</v>
      </c>
    </row>
    <row r="195" spans="1:13" ht="15" thickBot="1" x14ac:dyDescent="0.35">
      <c r="A195" s="4" t="s">
        <v>44</v>
      </c>
      <c r="B195" s="1" t="s">
        <v>61</v>
      </c>
      <c r="C195" s="1" t="s">
        <v>18</v>
      </c>
      <c r="D195" s="1" t="s">
        <v>27</v>
      </c>
      <c r="E195" s="31">
        <v>1093.3800000000001</v>
      </c>
      <c r="F195" s="2">
        <v>17</v>
      </c>
      <c r="G195" s="2">
        <v>0.1</v>
      </c>
      <c r="H195" s="3">
        <v>45745</v>
      </c>
      <c r="I195" s="35">
        <v>344.41</v>
      </c>
      <c r="J195" s="13" t="str">
        <f t="shared" si="12"/>
        <v>Low Discount</v>
      </c>
      <c r="K195" s="43">
        <f t="shared" ca="1" si="13"/>
        <v>46081.56108472222</v>
      </c>
      <c r="L195" s="42" t="str">
        <f>IF(Table1[Sales]&gt;1000,"High purchase","Normal purchase")</f>
        <v>High purchase</v>
      </c>
      <c r="M195" s="49">
        <f>Table1[[#This Row],[Profit]]/Table1[[#This Row],[Sales]]</f>
        <v>0.31499570140298888</v>
      </c>
    </row>
    <row r="196" spans="1:13" ht="15" thickBot="1" x14ac:dyDescent="0.35">
      <c r="A196" s="4" t="s">
        <v>37</v>
      </c>
      <c r="B196" s="1" t="s">
        <v>43</v>
      </c>
      <c r="C196" s="1" t="s">
        <v>11</v>
      </c>
      <c r="D196" s="1" t="s">
        <v>15</v>
      </c>
      <c r="E196" s="31">
        <v>934.27</v>
      </c>
      <c r="F196" s="2">
        <v>8</v>
      </c>
      <c r="G196" s="2">
        <v>0.15</v>
      </c>
      <c r="H196" s="3">
        <v>45746</v>
      </c>
      <c r="I196" s="35">
        <v>397.06</v>
      </c>
      <c r="J196" s="13" t="str">
        <f t="shared" si="12"/>
        <v>Medium Discount</v>
      </c>
      <c r="K196" s="43">
        <f t="shared" ca="1" si="13"/>
        <v>46081.56108472222</v>
      </c>
      <c r="L196" s="42" t="str">
        <f>IF(Table1[Sales]&gt;1000,"High purchase","Normal purchase")</f>
        <v>Normal purchase</v>
      </c>
      <c r="M196" s="49">
        <f>Table1[[#This Row],[Profit]]/Table1[[#This Row],[Sales]]</f>
        <v>0.42499491581662691</v>
      </c>
    </row>
    <row r="197" spans="1:13" ht="15" thickBot="1" x14ac:dyDescent="0.35">
      <c r="A197" s="4" t="s">
        <v>70</v>
      </c>
      <c r="B197" s="1" t="s">
        <v>36</v>
      </c>
      <c r="C197" s="1" t="s">
        <v>34</v>
      </c>
      <c r="D197" s="1" t="s">
        <v>15</v>
      </c>
      <c r="E197" s="31">
        <v>1465.35</v>
      </c>
      <c r="F197" s="2">
        <v>8</v>
      </c>
      <c r="G197" s="2">
        <v>0.2</v>
      </c>
      <c r="H197" s="3">
        <v>45746</v>
      </c>
      <c r="I197" s="35">
        <v>586.14</v>
      </c>
      <c r="J197" s="13" t="str">
        <f t="shared" si="12"/>
        <v>High Discount</v>
      </c>
      <c r="K197" s="43">
        <f t="shared" ca="1" si="13"/>
        <v>46081.56108472222</v>
      </c>
      <c r="L197" s="42" t="str">
        <f>IF(Table1[Sales]&gt;1000,"High purchase","Normal purchase")</f>
        <v>High purchase</v>
      </c>
      <c r="M197" s="49">
        <f>Table1[[#This Row],[Profit]]/Table1[[#This Row],[Sales]]</f>
        <v>0.4</v>
      </c>
    </row>
    <row r="198" spans="1:13" ht="15" thickBot="1" x14ac:dyDescent="0.35">
      <c r="A198" s="4" t="s">
        <v>52</v>
      </c>
      <c r="B198" s="1" t="s">
        <v>14</v>
      </c>
      <c r="C198" s="1" t="s">
        <v>20</v>
      </c>
      <c r="D198" s="1" t="s">
        <v>39</v>
      </c>
      <c r="E198" s="31">
        <v>740.8</v>
      </c>
      <c r="F198" s="2">
        <v>3</v>
      </c>
      <c r="G198" s="2">
        <v>0</v>
      </c>
      <c r="H198" s="3">
        <v>45749</v>
      </c>
      <c r="I198" s="35">
        <v>333.36</v>
      </c>
      <c r="J198" s="13" t="str">
        <f t="shared" si="12"/>
        <v>No Discount</v>
      </c>
      <c r="K198" s="43">
        <f t="shared" ca="1" si="13"/>
        <v>46081.56108472222</v>
      </c>
      <c r="L198" s="42" t="str">
        <f>IF(Table1[Sales]&gt;1000,"High purchase","Normal purchase")</f>
        <v>Normal purchase</v>
      </c>
      <c r="M198" s="49">
        <f>Table1[[#This Row],[Profit]]/Table1[[#This Row],[Sales]]</f>
        <v>0.45000000000000007</v>
      </c>
    </row>
    <row r="199" spans="1:13" ht="15" thickBot="1" x14ac:dyDescent="0.35">
      <c r="A199" s="4" t="s">
        <v>58</v>
      </c>
      <c r="B199" s="1" t="s">
        <v>43</v>
      </c>
      <c r="C199" s="1" t="s">
        <v>11</v>
      </c>
      <c r="D199" s="1" t="s">
        <v>39</v>
      </c>
      <c r="E199" s="31">
        <v>545.44000000000005</v>
      </c>
      <c r="F199" s="2">
        <v>17</v>
      </c>
      <c r="G199" s="2">
        <v>0</v>
      </c>
      <c r="H199" s="3">
        <v>45752</v>
      </c>
      <c r="I199" s="35">
        <v>245.45</v>
      </c>
      <c r="J199" s="13" t="str">
        <f t="shared" si="12"/>
        <v>No Discount</v>
      </c>
      <c r="K199" s="43">
        <f t="shared" ca="1" si="13"/>
        <v>46081.56108472222</v>
      </c>
      <c r="L199" s="42" t="str">
        <f>IF(Table1[Sales]&gt;1000,"High purchase","Normal purchase")</f>
        <v>Normal purchase</v>
      </c>
      <c r="M199" s="49">
        <f>Table1[[#This Row],[Profit]]/Table1[[#This Row],[Sales]]</f>
        <v>0.45000366676444697</v>
      </c>
    </row>
    <row r="200" spans="1:13" ht="15" thickBot="1" x14ac:dyDescent="0.35">
      <c r="A200" s="4" t="s">
        <v>35</v>
      </c>
      <c r="B200" s="1" t="s">
        <v>36</v>
      </c>
      <c r="C200" s="1" t="s">
        <v>18</v>
      </c>
      <c r="D200" s="1" t="s">
        <v>12</v>
      </c>
      <c r="E200" s="31">
        <v>997.61</v>
      </c>
      <c r="F200" s="2">
        <v>8</v>
      </c>
      <c r="G200" s="2">
        <v>0.05</v>
      </c>
      <c r="H200" s="3">
        <v>45752</v>
      </c>
      <c r="I200" s="35">
        <v>379.09</v>
      </c>
      <c r="J200" s="13" t="str">
        <f t="shared" si="12"/>
        <v>Low Discount</v>
      </c>
      <c r="K200" s="43">
        <f t="shared" ca="1" si="13"/>
        <v>46081.56108472222</v>
      </c>
      <c r="L200" s="42" t="str">
        <f>IF(Table1[Sales]&gt;1000,"High purchase","Normal purchase")</f>
        <v>Normal purchase</v>
      </c>
      <c r="M200" s="49">
        <f>Table1[[#This Row],[Profit]]/Table1[[#This Row],[Sales]]</f>
        <v>0.37999819568769355</v>
      </c>
    </row>
    <row r="201" spans="1:13" x14ac:dyDescent="0.3">
      <c r="A201" s="5" t="s">
        <v>60</v>
      </c>
      <c r="B201" s="6" t="s">
        <v>36</v>
      </c>
      <c r="C201" s="6" t="s">
        <v>20</v>
      </c>
      <c r="D201" s="6" t="s">
        <v>15</v>
      </c>
      <c r="E201" s="32">
        <v>928.32</v>
      </c>
      <c r="F201" s="7">
        <v>2</v>
      </c>
      <c r="G201" s="7">
        <v>0.05</v>
      </c>
      <c r="H201" s="8">
        <v>45754</v>
      </c>
      <c r="I201" s="36">
        <v>440.95</v>
      </c>
      <c r="J201" s="16" t="str">
        <f t="shared" si="12"/>
        <v>Low Discount</v>
      </c>
      <c r="K201" s="43">
        <f t="shared" ca="1" si="13"/>
        <v>46081.56108472222</v>
      </c>
      <c r="L201" s="42" t="str">
        <f>IF(Table1[Sales]&gt;1000,"High purchase","Normal purchase")</f>
        <v>Normal purchase</v>
      </c>
      <c r="M201" s="49">
        <f>Table1[[#This Row],[Profit]]/Table1[[#This Row],[Sales]]</f>
        <v>0.4749978455704929</v>
      </c>
    </row>
  </sheetData>
  <mergeCells count="2">
    <mergeCell ref="O6:P6"/>
    <mergeCell ref="O9:P9"/>
  </mergeCells>
  <phoneticPr fontId="10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088B251-B189-4F23-B166-D1D96ABEC6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 Summary</vt:lpstr>
      <vt:lpstr>REGRESSION</vt:lpstr>
      <vt:lpstr>Profit_Descriptive_Statistics</vt:lpstr>
      <vt:lpstr>PIVOTTABLES</vt:lpstr>
      <vt:lpstr>CHARTS</vt:lpstr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Arjun sinojia</dc:creator>
  <cp:lastModifiedBy>ArJun..!!! .</cp:lastModifiedBy>
  <dcterms:created xsi:type="dcterms:W3CDTF">2015-06-05T18:17:20Z</dcterms:created>
  <dcterms:modified xsi:type="dcterms:W3CDTF">2026-02-28T07:58:36Z</dcterms:modified>
</cp:coreProperties>
</file>