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rjun sinojia\Desktop\Excel\"/>
    </mc:Choice>
  </mc:AlternateContent>
  <xr:revisionPtr revIDLastSave="0" documentId="13_ncr:1_{70DA9102-B8C6-4690-9007-81E02222FE95}" xr6:coauthVersionLast="47" xr6:coauthVersionMax="47" xr10:uidLastSave="{00000000-0000-0000-0000-000000000000}"/>
  <bookViews>
    <workbookView xWindow="-108" yWindow="-108" windowWidth="23256" windowHeight="12456" xr2:uid="{1AF58399-39EE-402E-925A-0DCFB1611174}"/>
  </bookViews>
  <sheets>
    <sheet name="STUDENTDATA" sheetId="1" r:id="rId1"/>
    <sheet name="SALESDATA" sheetId="2" r:id="rId2"/>
    <sheet name="EMPLOYEEDATA" sheetId="3" r:id="rId3"/>
  </sheets>
  <definedNames>
    <definedName name="_xlnm._FilterDatabase" localSheetId="1" hidden="1">SALESDATA!$D$27:$G$27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E39" i="2"/>
  <c r="O7" i="1"/>
  <c r="O2" i="1"/>
  <c r="O3" i="1"/>
  <c r="O4" i="1"/>
  <c r="O5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I6" i="1"/>
  <c r="I2" i="1"/>
  <c r="G30" i="1" s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F33" i="2"/>
  <c r="F30" i="1"/>
  <c r="G2" i="1"/>
  <c r="Q2" i="1" s="1"/>
  <c r="G3" i="1"/>
  <c r="Q3" i="1" s="1"/>
  <c r="G4" i="1"/>
  <c r="Q4" i="1" s="1"/>
  <c r="G5" i="1"/>
  <c r="Q5" i="1" s="1"/>
  <c r="G6" i="1"/>
  <c r="Q6" i="1" s="1"/>
  <c r="G7" i="1"/>
  <c r="Q7" i="1" s="1"/>
  <c r="G8" i="1"/>
  <c r="Q8" i="1" s="1"/>
  <c r="G9" i="1"/>
  <c r="Q9" i="1" s="1"/>
  <c r="G10" i="1"/>
  <c r="Q10" i="1" s="1"/>
  <c r="G11" i="1"/>
  <c r="Q11" i="1" s="1"/>
  <c r="G12" i="1"/>
  <c r="Q12" i="1" s="1"/>
  <c r="G13" i="1"/>
  <c r="Q13" i="1" s="1"/>
  <c r="G14" i="1"/>
  <c r="Q14" i="1" s="1"/>
  <c r="G15" i="1"/>
  <c r="Q15" i="1" s="1"/>
  <c r="G16" i="1"/>
  <c r="Q16" i="1" s="1"/>
  <c r="G17" i="1"/>
  <c r="Q17" i="1" s="1"/>
  <c r="G18" i="1"/>
  <c r="Q18" i="1" s="1"/>
  <c r="G19" i="1"/>
  <c r="Q19" i="1" s="1"/>
  <c r="G20" i="1"/>
  <c r="Q20" i="1" s="1"/>
  <c r="G21" i="1"/>
  <c r="Q21" i="1" s="1"/>
  <c r="I27" i="2"/>
  <c r="I31" i="2"/>
  <c r="I30" i="2"/>
  <c r="I29" i="2"/>
  <c r="I28" i="2"/>
  <c r="G27" i="1"/>
  <c r="H3" i="2"/>
  <c r="H2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I3" i="1"/>
  <c r="I4" i="1"/>
  <c r="I5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H2" i="1"/>
  <c r="J2" i="1" s="1"/>
  <c r="H3" i="1"/>
  <c r="J3" i="1" s="1"/>
  <c r="H4" i="1"/>
  <c r="J4" i="1" s="1"/>
  <c r="H5" i="1"/>
  <c r="J5" i="1" s="1"/>
  <c r="H6" i="1"/>
  <c r="J6" i="1" s="1"/>
  <c r="H7" i="1"/>
  <c r="J7" i="1" s="1"/>
  <c r="H8" i="1"/>
  <c r="J8" i="1" s="1"/>
  <c r="H9" i="1"/>
  <c r="J9" i="1" s="1"/>
  <c r="H10" i="1"/>
  <c r="J10" i="1" s="1"/>
  <c r="H11" i="1"/>
  <c r="J11" i="1" s="1"/>
  <c r="H12" i="1"/>
  <c r="J12" i="1" s="1"/>
  <c r="H13" i="1"/>
  <c r="J13" i="1" s="1"/>
  <c r="H14" i="1"/>
  <c r="J14" i="1" s="1"/>
  <c r="H15" i="1"/>
  <c r="J15" i="1" s="1"/>
  <c r="H16" i="1"/>
  <c r="J16" i="1" s="1"/>
  <c r="H17" i="1"/>
  <c r="J17" i="1" s="1"/>
  <c r="H18" i="1"/>
  <c r="J18" i="1" s="1"/>
  <c r="H19" i="1"/>
  <c r="J19" i="1" s="1"/>
  <c r="H20" i="1"/>
  <c r="J20" i="1" s="1"/>
  <c r="H21" i="1"/>
  <c r="J21" i="1" s="1"/>
  <c r="R16" i="1" l="1"/>
  <c r="R15" i="1"/>
  <c r="R8" i="1"/>
  <c r="R7" i="1"/>
  <c r="R17" i="1"/>
  <c r="R9" i="1"/>
  <c r="R14" i="1"/>
  <c r="R6" i="1"/>
  <c r="R21" i="1"/>
  <c r="R13" i="1"/>
  <c r="R5" i="1"/>
  <c r="R20" i="1"/>
  <c r="R12" i="1"/>
  <c r="R4" i="1"/>
  <c r="R19" i="1"/>
  <c r="R11" i="1"/>
  <c r="R3" i="1"/>
  <c r="R18" i="1"/>
  <c r="R10" i="1"/>
  <c r="R2" i="1"/>
  <c r="G28" i="1"/>
</calcChain>
</file>

<file path=xl/sharedStrings.xml><?xml version="1.0" encoding="utf-8"?>
<sst xmlns="http://schemas.openxmlformats.org/spreadsheetml/2006/main" count="210" uniqueCount="117">
  <si>
    <t>Student ID</t>
  </si>
  <si>
    <t>Name</t>
  </si>
  <si>
    <t>Math</t>
  </si>
  <si>
    <t>Science</t>
  </si>
  <si>
    <t>English</t>
  </si>
  <si>
    <t>Enrollment Date</t>
  </si>
  <si>
    <t>Student 1</t>
  </si>
  <si>
    <t>Student 2</t>
  </si>
  <si>
    <t>Student 3</t>
  </si>
  <si>
    <t>Student 4</t>
  </si>
  <si>
    <t>Student 5</t>
  </si>
  <si>
    <t>Student 7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</si>
  <si>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</si>
  <si>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</si>
  <si>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</si>
  <si>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</si>
  <si>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</si>
  <si>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</si>
  <si>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</si>
  <si>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 15</t>
  </si>
  <si>
    <t>Student 16</t>
  </si>
  <si>
    <t>Student 17</t>
  </si>
  <si>
    <t>Student 18</t>
  </si>
  <si>
    <t>Student 19</t>
  </si>
  <si>
    <t>Student 20</t>
  </si>
  <si>
    <t>Grade</t>
  </si>
  <si>
    <t>Total</t>
  </si>
  <si>
    <t>P OR F</t>
  </si>
  <si>
    <t>Q.1</t>
  </si>
  <si>
    <t>Done</t>
  </si>
  <si>
    <t>Sales ID</t>
  </si>
  <si>
    <t>Product</t>
  </si>
  <si>
    <t>Region</t>
  </si>
  <si>
    <t>Salesperson</t>
  </si>
  <si>
    <t>Amount</t>
  </si>
  <si>
    <t>Date</t>
  </si>
  <si>
    <t>Keyboard</t>
  </si>
  <si>
    <t>South</t>
  </si>
  <si>
    <t>Person 1</t>
  </si>
  <si>
    <t>Printer</t>
  </si>
  <si>
    <t>West</t>
  </si>
  <si>
    <t>Person 2</t>
  </si>
  <si>
    <t>Mouse</t>
  </si>
  <si>
    <t>Person 3</t>
  </si>
  <si>
    <t>East</t>
  </si>
  <si>
    <t>Person 4</t>
  </si>
  <si>
    <t>North</t>
  </si>
  <si>
    <t>Person 5</t>
  </si>
  <si>
    <t>Person 6</t>
  </si>
  <si>
    <t>Person 7</t>
  </si>
  <si>
    <t>Person 8</t>
  </si>
  <si>
    <t>Person 9</t>
  </si>
  <si>
    <t>Person 10</t>
  </si>
  <si>
    <t>Person 11</t>
  </si>
  <si>
    <t>Monitor</t>
  </si>
  <si>
    <t>Person 12</t>
  </si>
  <si>
    <t>Laptop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</si>
  <si>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</si>
  <si>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</si>
  <si>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</si>
  <si>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</si>
  <si>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</si>
  <si>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</si>
  <si>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</si>
  <si>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</si>
  <si>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Discount</t>
  </si>
  <si>
    <t>Q.2</t>
  </si>
  <si>
    <t>Toppers</t>
  </si>
  <si>
    <t>Q.3</t>
  </si>
  <si>
    <t>Product eligible for discount</t>
  </si>
  <si>
    <t>Q.4</t>
  </si>
  <si>
    <t>Maths &gt;50 Marks Student</t>
  </si>
  <si>
    <t>Sum total sales for a specific region and product</t>
  </si>
  <si>
    <t>Avg Mark</t>
  </si>
  <si>
    <t>Avg &gt; 60 Marks Student</t>
  </si>
  <si>
    <t>Q.5</t>
  </si>
  <si>
    <t>Product Name</t>
  </si>
  <si>
    <t>Q.6</t>
  </si>
  <si>
    <t>Q.7</t>
  </si>
  <si>
    <t>Up_Name</t>
  </si>
  <si>
    <t>Lw_Name</t>
  </si>
  <si>
    <t>Pr_Name</t>
  </si>
  <si>
    <t>Q.8</t>
  </si>
  <si>
    <t>Only_Name</t>
  </si>
  <si>
    <t>Meet D</t>
  </si>
  <si>
    <t>Employee ID</t>
  </si>
  <si>
    <t>Department</t>
  </si>
  <si>
    <t>Salary</t>
  </si>
  <si>
    <t>Joining Date</t>
  </si>
  <si>
    <t>Employee 1</t>
  </si>
  <si>
    <t>Finance</t>
  </si>
  <si>
    <t>Employee 2</t>
  </si>
  <si>
    <t>Employee 3</t>
  </si>
  <si>
    <t>HR</t>
  </si>
  <si>
    <t>Employee 4</t>
  </si>
  <si>
    <t>Employee 5</t>
  </si>
  <si>
    <t>IT</t>
  </si>
  <si>
    <t>Employee 6</t>
  </si>
  <si>
    <t>Employee 7</t>
  </si>
  <si>
    <t>Marketing</t>
  </si>
  <si>
    <t>Employee 8</t>
  </si>
  <si>
    <t>Employee 9</t>
  </si>
  <si>
    <t>Employee 10</t>
  </si>
  <si>
    <t>Employee 11</t>
  </si>
  <si>
    <t>Employee 12</t>
  </si>
  <si>
    <t>Employee 13</t>
  </si>
  <si>
    <t>Employee 14</t>
  </si>
  <si>
    <t>Employee 15</t>
  </si>
  <si>
    <t>Employee 16</t>
  </si>
  <si>
    <t>Employee 17</t>
  </si>
  <si>
    <t>Employee 18</t>
  </si>
  <si>
    <t>Employee 19</t>
  </si>
  <si>
    <t>Employee 20</t>
  </si>
  <si>
    <t xml:space="preserve">Q.9 </t>
  </si>
  <si>
    <t>Date_Diff</t>
  </si>
  <si>
    <t>Round</t>
  </si>
  <si>
    <t>FLOOR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</si>
</sst>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"/>
    <numFmt numFmtId="171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14" fontId="0" fillId="0" borderId="9" xfId="0" applyNumberFormat="1" applyBorder="1" applyAlignment="1">
      <alignment horizontal="center" vertical="center" wrapText="1"/>
    </xf>
    <xf numFmtId="14" fontId="0" fillId="0" borderId="0" xfId="0" applyNumberFormat="1"/>
    <xf numFmtId="0" fontId="0" fillId="0" borderId="11" xfId="0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4" fontId="2" fillId="2" borderId="6" xfId="0" applyNumberFormat="1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4" fontId="1" fillId="2" borderId="1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64" fontId="1" fillId="2" borderId="15" xfId="0" applyNumberFormat="1" applyFont="1" applyFill="1" applyBorder="1" applyAlignment="1">
      <alignment horizontal="center" vertical="center" wrapText="1"/>
    </xf>
    <xf numFmtId="1" fontId="2" fillId="2" borderId="10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71" fontId="2" fillId="2" borderId="10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 vertical="center" wrapText="1"/>
    </xf>
    <xf numFmtId="171" fontId="0" fillId="0" borderId="0" xfId="0" applyNumberFormat="1"/>
    <xf numFmtId="171" fontId="1" fillId="0" borderId="0" xfId="0" applyNumberFormat="1" applyFont="1"/>
  </cellXfs>
  <cellStyles count="1">
    <cellStyle name="Normal" xfId="0" builtinId="0"/>
  </cellStyles>
  <dxfs count="36"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 style="medium">
          <color rgb="FFCCCCCC"/>
        </top>
        <bottom style="medium">
          <color rgb="FF000000"/>
        </bottom>
      </border>
    </dxf>
    <dxf>
      <numFmt numFmtId="171" formatCode="0.0000"/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/>
        <top/>
        <bottom/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</dxf>
    <dxf>
      <numFmt numFmtId="164" formatCode="&quot;₹&quot;\ #,##0"/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F255F9-D276-4E6A-87DC-645362DC9C93}" name="Table1" displayName="Table1" ref="A1:R21" totalsRowShown="0" headerRowDxfId="22" dataDxfId="21" headerRowBorderDxfId="19" tableBorderDxfId="20" totalsRowBorderDxfId="18">
  <autoFilter ref="A1:R21" xr:uid="{53F255F9-D276-4E6A-87DC-645362DC9C93}"/>
  <tableColumns count="18">
    <tableColumn id="1" xr3:uid="{80262E9F-A499-4039-AA21-4E67A46C97C0}" name="Student ID" dataDxfId="17"/>
    <tableColumn id="2" xr3:uid="{93230F4A-4BC7-4542-89F8-1C5A8D5278D8}" name="Name" dataDxfId="16"/>
    <tableColumn id="3" xr3:uid="{32F0945D-9C08-492A-A300-0ACB69CEE9A6}" name="Math" dataDxfId="15"/>
    <tableColumn id="4" xr3:uid="{95FBC31C-1113-44EF-898F-23BE81F726A9}" name="Science" dataDxfId="14"/>
    <tableColumn id="5" xr3:uid="{223FEEEF-6D12-45C6-A7BD-858CEA123B38}" name="English" dataDxfId="13"/>
    <tableColumn id="6" xr3:uid="{24997881-3254-4220-A496-32979EDEC503}" name="Enrollment Date" dataDxfId="12"/>
    <tableColumn id="11" xr3:uid="{A29F32B2-0A46-44D9-8C99-2BF18AC99A15}" name="Avg Mark" dataDxfId="11">
      <calculatedColumnFormula>AVERAGE(Table1[[#This Row],[Math]:[English]])</calculatedColumnFormula>
    </tableColumn>
    <tableColumn id="7" xr3:uid="{DD99EB68-E2BC-41C3-9ED9-71838B875B39}" name="Total" dataDxfId="10">
      <calculatedColumnFormula>SUM(Table1[[#This Row],[Math]:[English]])</calculatedColumnFormula>
    </tableColumn>
    <tableColumn id="8" xr3:uid="{9025AF41-6837-4C5E-8FD0-A978980A56E1}" name="P OR F" dataDxfId="9">
      <calculatedColumnFormula>_xlfn.IFS(Table1[[#This Row],[Math]]&gt;50,"Pass",Table1[[#This Row],[Science]]&gt;50,"Pass",Table1[[#This Row],[English]]&gt;50,"Pass",TRUE,"Fail")</calculatedColumnFormula>
    </tableColumn>
    <tableColumn id="9" xr3:uid="{EAD4B796-71A4-405D-9ABA-A3B218A0DB9A}" name="Grade" dataDxfId="8">
      <calculatedColumnFormula>IF(Table1[[#This Row],[Total]]&gt;=270,"A",
 IF(Table1[[#This Row],[Total]]&gt;=225,"B",
 IF(Table1[[#This Row],[Total]]&gt;=180,"C",
 IF(Table1[[#This Row],[Total]]&gt;=150,"D","Fail"))))</calculatedColumnFormula>
    </tableColumn>
    <tableColumn id="10" xr3:uid="{F064E732-9B3C-4D36-B753-D16788F3E30D}" name="Toppers" dataDxfId="7">
      <calculatedColumnFormula>IF(AND(Table1[[#This Row],[Math]]&gt;80,Table1[[#This Row],[Science]]&gt;80),"Top Performer","")</calculatedColumnFormula>
    </tableColumn>
    <tableColumn id="12" xr3:uid="{20F62CF3-3661-4443-859C-3B40E76641BF}" name="Up_Name" dataDxfId="6">
      <calculatedColumnFormula>UPPER(B2:B21)</calculatedColumnFormula>
    </tableColumn>
    <tableColumn id="13" xr3:uid="{2BC695D6-F2A3-4061-968F-573B542AA55D}" name="Lw_Name" dataDxfId="5">
      <calculatedColumnFormula>LOWER(B2:B21)</calculatedColumnFormula>
    </tableColumn>
    <tableColumn id="14" xr3:uid="{5B15EC32-863A-49BF-A1DF-1098A109AD38}" name="Pr_Name" dataDxfId="4">
      <calculatedColumnFormula>PROPER(B2:B21)</calculatedColumnFormula>
    </tableColumn>
    <tableColumn id="15" xr3:uid="{D32A433B-AE5C-461E-A0C6-3CAFDD66F35C}" name="Only_Name" dataDxfId="3">
      <calculatedColumnFormula>LEFT(Table1[Name],FIND(" ",Table1[Name])-1)</calculatedColumnFormula>
    </tableColumn>
    <tableColumn id="16" xr3:uid="{E75FE69F-010B-4937-BCD8-9E42A96F5AD6}" name="Date_Diff" dataDxfId="2">
      <calculatedColumnFormula>YEAR(TODAY())-YEAR(Table1[Enrollment Date])</calculatedColumnFormula>
    </tableColumn>
    <tableColumn id="17" xr3:uid="{30BE978D-0145-48E4-9448-AADA1C18E9E8}" name="Round" dataDxfId="1">
      <calculatedColumnFormula>ROUND(Table1[Avg Mark],2)</calculatedColumnFormula>
    </tableColumn>
    <tableColumn id="19" xr3:uid="{6A1AEA19-A851-4780-9BCA-D5F7117146F3}" name="FLOOR" dataDxfId="0">
      <calculatedColumnFormula>FLOOR(Table1[Avg Mark],10)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545BCF-48EC-445E-8DC9-A92ADE1FBABC}" name="Table2" displayName="Table2" ref="A1:H21" totalsRowShown="0" headerRowDxfId="35" dataDxfId="33" headerRowBorderDxfId="34" tableBorderDxfId="32" totalsRowBorderDxfId="31">
  <autoFilter ref="A1:H21" xr:uid="{05545BCF-48EC-445E-8DC9-A92ADE1FBABC}"/>
  <tableColumns count="8">
    <tableColumn id="1" xr3:uid="{1C2E07FD-BF9F-494D-9966-9487EFB97648}" name="Sales ID" dataDxfId="30"/>
    <tableColumn id="2" xr3:uid="{BC5BC00F-5165-4D31-861A-262706E4DA04}" name="Product" dataDxfId="29"/>
    <tableColumn id="3" xr3:uid="{DAA7E862-0BA8-40D4-90BA-C1FFFA7E21B8}" name="Region" dataDxfId="28"/>
    <tableColumn id="4" xr3:uid="{365A365F-83C0-4FD2-828A-543C86DD68AD}" name="Salesperson" dataDxfId="27"/>
    <tableColumn id="5" xr3:uid="{CF344E5B-3E7C-4484-9E2D-145AA71AB0F2}" name="Amount" dataDxfId="23"/>
    <tableColumn id="6" xr3:uid="{BE536159-4D7C-4240-BBC9-5C8C11E6010E}" name="Date" dataDxfId="26"/>
    <tableColumn id="7" xr3:uid="{3FACF1CA-EFEF-4BB6-8F02-F78BA706D8A5}" name="Discount" dataDxfId="25">
      <calculatedColumnFormula>IF(Table2[[#This Row],[Amount]]&gt;=20000,Table2[[#This Row],[Amount]]*20%,
 IF(Table2[[#This Row],[Amount]]&gt;=10000,Table2[[#This Row],[Amount]]*10%,
 Table2[[#This Row],[Amount]]*5%))</calculatedColumnFormula>
    </tableColumn>
    <tableColumn id="8" xr3:uid="{D93209F7-29A0-4AF1-9F01-424B4E33DF8E}" name="Product eligible for discount" dataDxfId="24">
      <calculatedColumnFormula>IF(OR(Table2[[#This Row],[Product]]="Keyboard",Table2[[#This Row],[Amount]]&gt;10000),"Eligible","Not Eligible")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899FF9-C077-42ED-8D5F-84B34949D4B4}" name="Table6" displayName="Table6" ref="L1:M6" totalsRowShown="0">
  <autoFilter ref="L1:M6" xr:uid="{63899FF9-C077-42ED-8D5F-84B34949D4B4}"/>
  <tableColumns count="2">
    <tableColumn id="1" xr3:uid="{B3B7BBC7-0CA3-4FBD-9C50-748A18D9AE94}" name="Region"/>
    <tableColumn id="2" xr3:uid="{2A3BDC6B-F4B4-4C52-B15A-DBE863AA3DA4}" name="Produ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DB621-5329-4A1E-8ACA-6F6B2CD44A0C}">
  <dimension ref="A1:R34"/>
  <sheetViews>
    <sheetView tabSelected="1" topLeftCell="A7" zoomScale="85" zoomScaleNormal="85" workbookViewId="0">
      <selection activeCell="J17" sqref="J17"/>
    </sheetView>
  </sheetViews>
  <sheetFormatPr defaultRowHeight="14.4" x14ac:dyDescent="0.3"/>
  <cols>
    <col min="1" max="1" width="11.77734375" customWidth="1"/>
    <col min="2" max="2" width="10.5546875" customWidth="1"/>
    <col min="3" max="4" width="12.88671875" customWidth="1"/>
    <col min="5" max="5" width="14.5546875" customWidth="1"/>
    <col min="6" max="6" width="16.44140625" style="7" customWidth="1"/>
    <col min="7" max="7" width="11.88671875" style="37" customWidth="1"/>
    <col min="8" max="8" width="13.6640625" customWidth="1"/>
    <col min="9" max="9" width="11" customWidth="1"/>
    <col min="10" max="10" width="13.88671875" customWidth="1"/>
    <col min="11" max="11" width="14" customWidth="1"/>
    <col min="12" max="12" width="16.109375" customWidth="1"/>
    <col min="13" max="13" width="15" customWidth="1"/>
    <col min="14" max="14" width="11.6640625" customWidth="1"/>
    <col min="15" max="15" width="14.44140625" customWidth="1"/>
    <col min="16" max="16" width="16.6640625" style="22" customWidth="1"/>
    <col min="17" max="17" width="11.33203125" customWidth="1"/>
  </cols>
  <sheetData>
    <row r="1" spans="1:18" ht="15" thickBot="1" x14ac:dyDescent="0.3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1" t="s">
        <v>5</v>
      </c>
      <c r="G1" s="35" t="s">
        <v>73</v>
      </c>
      <c r="H1" s="12" t="s">
        <v>26</v>
      </c>
      <c r="I1" s="12" t="s">
        <v>27</v>
      </c>
      <c r="J1" s="12" t="s">
        <v>25</v>
      </c>
      <c r="K1" s="12" t="s">
        <v>67</v>
      </c>
      <c r="L1" s="12" t="s">
        <v>79</v>
      </c>
      <c r="M1" s="12" t="s">
        <v>80</v>
      </c>
      <c r="N1" s="12" t="s">
        <v>81</v>
      </c>
      <c r="O1" s="12" t="s">
        <v>83</v>
      </c>
      <c r="P1" s="33" t="s">
        <v>114</v>
      </c>
      <c r="Q1" s="12" t="s">
        <v>115</v>
      </c>
      <c r="R1" s="12" t="s">
        <v>116</v>
      </c>
    </row>
    <row r="2" spans="1:18" ht="15" thickBot="1" x14ac:dyDescent="0.35">
      <c r="A2" s="2">
        <v>1001</v>
      </c>
      <c r="B2" s="1" t="s">
        <v>6</v>
      </c>
      <c r="C2" s="1">
        <v>61</v>
      </c>
      <c r="D2" s="1">
        <v>48</v>
      </c>
      <c r="E2" s="1">
        <v>76</v>
      </c>
      <c r="F2" s="5">
        <v>43101</v>
      </c>
      <c r="G2" s="36">
        <f>AVERAGE(Table1[[#This Row],[Math]:[English]])</f>
        <v>61.666666666666664</v>
      </c>
      <c r="H2" s="8">
        <f>SUM(Table1[[#This Row],[Math]:[English]])</f>
        <v>185</v>
      </c>
      <c r="I2" s="8" t="str">
        <f>IF(AND(Table1[[#This Row],[Math]]&gt;50,Table1[[#This Row],[Science]]&gt;50,Table1[[#This Row],[English]]&gt;50),"Pass","Fail")</f>
        <v>Fail</v>
      </c>
      <c r="J2" s="13" t="str">
        <f>IF(Table1[[#This Row],[Total]]&gt;=270,"A",
 IF(Table1[[#This Row],[Total]]&gt;=225,"B",
 IF(Table1[[#This Row],[Total]]&gt;=180,"C",
 IF(Table1[[#This Row],[Total]]&gt;=150,"D","Fail"))))</f>
        <v>C</v>
      </c>
      <c r="K2" s="13" t="str">
        <f>IF(AND(Table1[[#This Row],[Math]]&gt;80,Table1[[#This Row],[Science]]&gt;80),"Top Performer","")</f>
        <v/>
      </c>
      <c r="L2" s="13" t="str">
        <f t="shared" ref="L2:L22" si="0">UPPER(B2:B21)</f>
        <v>STUDENT 1</v>
      </c>
      <c r="M2" s="26" t="str">
        <f t="shared" ref="M2:M22" si="1">LOWER(B2:B21)</f>
        <v>student 1</v>
      </c>
      <c r="N2" s="26" t="str">
        <f t="shared" ref="N2:N22" si="2">PROPER(B2:B21)</f>
        <v>Student 1</v>
      </c>
      <c r="O2" s="26" t="str">
        <f>LEFT(Table1[Name],FIND(" ",Table1[Name])-1)</f>
        <v>Student</v>
      </c>
      <c r="P2" s="34">
        <f ca="1">YEAR(TODAY())-YEAR(Table1[Enrollment Date])</f>
        <v>8</v>
      </c>
      <c r="Q2" s="26">
        <f>ROUND(Table1[Avg Mark],2)</f>
        <v>61.67</v>
      </c>
      <c r="R2" s="26">
        <f>FLOOR(Table1[Avg Mark],10)</f>
        <v>60</v>
      </c>
    </row>
    <row r="3" spans="1:18" ht="15" thickBot="1" x14ac:dyDescent="0.35">
      <c r="A3" s="2">
        <v>1002</v>
      </c>
      <c r="B3" s="1" t="s">
        <v>7</v>
      </c>
      <c r="C3" s="1">
        <v>78</v>
      </c>
      <c r="D3" s="1">
        <v>76</v>
      </c>
      <c r="E3" s="1">
        <v>70</v>
      </c>
      <c r="F3" s="5">
        <v>43281</v>
      </c>
      <c r="G3" s="36">
        <f>AVERAGE(Table1[[#This Row],[Math]:[English]])</f>
        <v>74.666666666666671</v>
      </c>
      <c r="H3" s="8">
        <f>SUM(Table1[[#This Row],[Math]:[English]])</f>
        <v>224</v>
      </c>
      <c r="I3" s="8" t="str">
        <f>IF(AND(Table1[[#This Row],[Math]]&gt;50,Table1[[#This Row],[Science]]&gt;50,Table1[[#This Row],[English]]&gt;50),"Pass","Fail")</f>
        <v>Pass</v>
      </c>
      <c r="J3" s="13" t="str">
        <f>IF(Table1[[#This Row],[Total]]&gt;=270,"A",
 IF(Table1[[#This Row],[Total]]&gt;=225,"B",
 IF(Table1[[#This Row],[Total]]&gt;=180,"C",
 IF(Table1[[#This Row],[Total]]&gt;=150,"D","Fail"))))</f>
        <v>C</v>
      </c>
      <c r="K3" s="13" t="str">
        <f>IF(AND(Table1[[#This Row],[Math]]&gt;80,Table1[[#This Row],[Science]]&gt;80),"Top Performer","")</f>
        <v/>
      </c>
      <c r="L3" s="13" t="str">
        <f t="shared" si="0"/>
        <v>STUDENT 2</v>
      </c>
      <c r="M3" s="26" t="str">
        <f t="shared" si="1"/>
        <v>student 2</v>
      </c>
      <c r="N3" s="26" t="str">
        <f t="shared" si="2"/>
        <v>Student 2</v>
      </c>
      <c r="O3" s="26" t="str">
        <f>LEFT(Table1[Name],FIND(" ",Table1[Name])-1)</f>
        <v>Student</v>
      </c>
      <c r="P3" s="34">
        <f ca="1">YEAR(TODAY())-YEAR(Table1[Enrollment Date])</f>
        <v>8</v>
      </c>
      <c r="Q3" s="26">
        <f>ROUND(Table1[Avg Mark],2)</f>
        <v>74.67</v>
      </c>
      <c r="R3" s="26">
        <f>FLOOR(Table1[Avg Mark],10)</f>
        <v>70</v>
      </c>
    </row>
    <row r="4" spans="1:18" ht="15" thickBot="1" x14ac:dyDescent="0.35">
      <c r="A4" s="2">
        <v>1003</v>
      </c>
      <c r="B4" s="1" t="s">
        <v>8</v>
      </c>
      <c r="C4" s="1">
        <v>97</v>
      </c>
      <c r="D4" s="1">
        <v>60</v>
      </c>
      <c r="E4" s="1">
        <v>51</v>
      </c>
      <c r="F4" s="5">
        <v>43461</v>
      </c>
      <c r="G4" s="36">
        <f>AVERAGE(Table1[[#This Row],[Math]:[English]])</f>
        <v>69.333333333333329</v>
      </c>
      <c r="H4" s="8">
        <f>SUM(Table1[[#This Row],[Math]:[English]])</f>
        <v>208</v>
      </c>
      <c r="I4" s="8" t="str">
        <f>IF(AND(Table1[[#This Row],[Math]]&gt;50,Table1[[#This Row],[Science]]&gt;50,Table1[[#This Row],[English]]&gt;50),"Pass","Fail")</f>
        <v>Pass</v>
      </c>
      <c r="J4" s="13" t="str">
        <f>IF(Table1[[#This Row],[Total]]&gt;=270,"A",
 IF(Table1[[#This Row],[Total]]&gt;=225,"B",
 IF(Table1[[#This Row],[Total]]&gt;=180,"C",
 IF(Table1[[#This Row],[Total]]&gt;=150,"D","Fail"))))</f>
        <v>C</v>
      </c>
      <c r="K4" s="13" t="str">
        <f>IF(AND(Table1[[#This Row],[Math]]&gt;80,Table1[[#This Row],[Science]]&gt;80),"Top Performer","")</f>
        <v/>
      </c>
      <c r="L4" s="13" t="str">
        <f t="shared" si="0"/>
        <v>STUDENT 3</v>
      </c>
      <c r="M4" s="26" t="str">
        <f t="shared" si="1"/>
        <v>student 3</v>
      </c>
      <c r="N4" s="26" t="str">
        <f t="shared" si="2"/>
        <v>Student 3</v>
      </c>
      <c r="O4" s="26" t="str">
        <f>LEFT(Table1[Name],FIND(" ",Table1[Name])-1)</f>
        <v>Student</v>
      </c>
      <c r="P4" s="34">
        <f ca="1">YEAR(TODAY())-YEAR(Table1[Enrollment Date])</f>
        <v>8</v>
      </c>
      <c r="Q4" s="26">
        <f>ROUND(Table1[Avg Mark],2)</f>
        <v>69.33</v>
      </c>
      <c r="R4" s="26">
        <f>FLOOR(Table1[Avg Mark],10)</f>
        <v>60</v>
      </c>
    </row>
    <row r="5" spans="1:18" ht="15" thickBot="1" x14ac:dyDescent="0.35">
      <c r="A5" s="2">
        <v>1004</v>
      </c>
      <c r="B5" s="1" t="s">
        <v>9</v>
      </c>
      <c r="C5" s="1">
        <v>74</v>
      </c>
      <c r="D5" s="1">
        <v>55</v>
      </c>
      <c r="E5" s="1">
        <v>46</v>
      </c>
      <c r="F5" s="5">
        <v>43641</v>
      </c>
      <c r="G5" s="36">
        <f>AVERAGE(Table1[[#This Row],[Math]:[English]])</f>
        <v>58.333333333333336</v>
      </c>
      <c r="H5" s="8">
        <f>SUM(Table1[[#This Row],[Math]:[English]])</f>
        <v>175</v>
      </c>
      <c r="I5" s="8" t="str">
        <f>IF(AND(Table1[[#This Row],[Math]]&gt;50,Table1[[#This Row],[Science]]&gt;50,Table1[[#This Row],[English]]&gt;50),"Pass","Fail")</f>
        <v>Fail</v>
      </c>
      <c r="J5" s="13" t="str">
        <f>IF(Table1[[#This Row],[Total]]&gt;=270,"A",
 IF(Table1[[#This Row],[Total]]&gt;=225,"B",
 IF(Table1[[#This Row],[Total]]&gt;=180,"C",
 IF(Table1[[#This Row],[Total]]&gt;=150,"D","Fail"))))</f>
        <v>D</v>
      </c>
      <c r="K5" s="13" t="str">
        <f>IF(AND(Table1[[#This Row],[Math]]&gt;80,Table1[[#This Row],[Science]]&gt;80),"Top Performer","")</f>
        <v/>
      </c>
      <c r="L5" s="13" t="str">
        <f t="shared" si="0"/>
        <v>STUDENT 4</v>
      </c>
      <c r="M5" s="26" t="str">
        <f t="shared" si="1"/>
        <v>student 4</v>
      </c>
      <c r="N5" s="26" t="str">
        <f t="shared" si="2"/>
        <v>Student 4</v>
      </c>
      <c r="O5" s="26" t="str">
        <f>LEFT(Table1[Name],FIND(" ",Table1[Name])-1)</f>
        <v>Student</v>
      </c>
      <c r="P5" s="34">
        <f ca="1">YEAR(TODAY())-YEAR(Table1[Enrollment Date])</f>
        <v>7</v>
      </c>
      <c r="Q5" s="26">
        <f>ROUND(Table1[Avg Mark],2)</f>
        <v>58.33</v>
      </c>
      <c r="R5" s="26">
        <f>FLOOR(Table1[Avg Mark],10)</f>
        <v>50</v>
      </c>
    </row>
    <row r="6" spans="1:18" ht="15" thickBot="1" x14ac:dyDescent="0.35">
      <c r="A6" s="2">
        <v>1005</v>
      </c>
      <c r="B6" s="1" t="s">
        <v>10</v>
      </c>
      <c r="C6" s="1">
        <v>68</v>
      </c>
      <c r="D6" s="1">
        <v>74</v>
      </c>
      <c r="E6" s="1">
        <v>84</v>
      </c>
      <c r="F6" s="5">
        <v>43821</v>
      </c>
      <c r="G6" s="36">
        <f>AVERAGE(Table1[[#This Row],[Math]:[English]])</f>
        <v>75.333333333333329</v>
      </c>
      <c r="H6" s="8">
        <f>SUM(Table1[[#This Row],[Math]:[English]])</f>
        <v>226</v>
      </c>
      <c r="I6" s="8" t="str">
        <f>IF(AND(Table1[[#This Row],[Math]]&gt;50,Table1[[#This Row],[Science]]&gt;50,Table1[[#This Row],[English]]&gt;50),"Pass","Fail")</f>
        <v>Pass</v>
      </c>
      <c r="J6" s="13" t="str">
        <f>IF(Table1[[#This Row],[Total]]&gt;=270,"A",
 IF(Table1[[#This Row],[Total]]&gt;=225,"B",
 IF(Table1[[#This Row],[Total]]&gt;=180,"C",
 IF(Table1[[#This Row],[Total]]&gt;=150,"D","Fail"))))</f>
        <v>B</v>
      </c>
      <c r="K6" s="13" t="str">
        <f>IF(AND(Table1[[#This Row],[Math]]&gt;80,Table1[[#This Row],[Science]]&gt;80),"Top Performer","")</f>
        <v/>
      </c>
      <c r="L6" s="13" t="str">
        <f t="shared" si="0"/>
        <v>STUDENT 5</v>
      </c>
      <c r="M6" s="26" t="str">
        <f t="shared" si="1"/>
        <v>student 5</v>
      </c>
      <c r="N6" s="26" t="str">
        <f t="shared" si="2"/>
        <v>Student 5</v>
      </c>
      <c r="O6" s="26" t="str">
        <f>LEFT(Table1[Name],FIND(" ",Table1[Name])-1)</f>
        <v>Student</v>
      </c>
      <c r="P6" s="34">
        <f ca="1">YEAR(TODAY())-YEAR(Table1[Enrollment Date])</f>
        <v>7</v>
      </c>
      <c r="Q6" s="26">
        <f>ROUND(Table1[Avg Mark],2)</f>
        <v>75.33</v>
      </c>
      <c r="R6" s="26">
        <f>FLOOR(Table1[Avg Mark],10)</f>
        <v>70</v>
      </c>
    </row>
    <row r="7" spans="1:18" ht="15" thickBot="1" x14ac:dyDescent="0.35">
      <c r="A7" s="2">
        <v>1006</v>
      </c>
      <c r="B7" s="1" t="s">
        <v>84</v>
      </c>
      <c r="C7" s="1">
        <v>80</v>
      </c>
      <c r="D7" s="1">
        <v>70</v>
      </c>
      <c r="E7" s="1">
        <v>65</v>
      </c>
      <c r="F7" s="5">
        <v>44001</v>
      </c>
      <c r="G7" s="36">
        <f>AVERAGE(Table1[[#This Row],[Math]:[English]])</f>
        <v>71.666666666666671</v>
      </c>
      <c r="H7" s="8">
        <f>SUM(Table1[[#This Row],[Math]:[English]])</f>
        <v>215</v>
      </c>
      <c r="I7" s="8" t="str">
        <f>IF(AND(Table1[[#This Row],[Math]]&gt;50,Table1[[#This Row],[Science]]&gt;50,Table1[[#This Row],[English]]&gt;50),"Pass","Fail")</f>
        <v>Pass</v>
      </c>
      <c r="J7" s="13" t="str">
        <f>IF(Table1[[#This Row],[Total]]&gt;=270,"A",
 IF(Table1[[#This Row],[Total]]&gt;=225,"B",
 IF(Table1[[#This Row],[Total]]&gt;=180,"C",
 IF(Table1[[#This Row],[Total]]&gt;=150,"D","Fail"))))</f>
        <v>C</v>
      </c>
      <c r="K7" s="13" t="str">
        <f>IF(AND(Table1[[#This Row],[Math]]&gt;80,Table1[[#This Row],[Science]]&gt;80),"Top Performer","")</f>
        <v/>
      </c>
      <c r="L7" s="13" t="str">
        <f t="shared" si="0"/>
        <v>MEET D</v>
      </c>
      <c r="M7" s="26" t="str">
        <f t="shared" si="1"/>
        <v>meet d</v>
      </c>
      <c r="N7" s="26" t="str">
        <f t="shared" si="2"/>
        <v>Meet D</v>
      </c>
      <c r="O7" s="26" t="str">
        <f>LEFT(Table1[Name],FIND(" ",Table1[Name])-1)</f>
        <v>Meet</v>
      </c>
      <c r="P7" s="34">
        <f ca="1">YEAR(TODAY())-YEAR(Table1[Enrollment Date])</f>
        <v>6</v>
      </c>
      <c r="Q7" s="26">
        <f>ROUND(Table1[Avg Mark],2)</f>
        <v>71.67</v>
      </c>
      <c r="R7" s="26">
        <f>FLOOR(Table1[Avg Mark],10)</f>
        <v>70</v>
      </c>
    </row>
    <row r="8" spans="1:18" ht="15" thickBot="1" x14ac:dyDescent="0.35">
      <c r="A8" s="2">
        <v>1007</v>
      </c>
      <c r="B8" s="1" t="s">
        <v>11</v>
      </c>
      <c r="C8" s="1">
        <v>75</v>
      </c>
      <c r="D8" s="1">
        <v>47</v>
      </c>
      <c r="E8" s="1">
        <v>78</v>
      </c>
      <c r="F8" s="5">
        <v>44181</v>
      </c>
      <c r="G8" s="36">
        <f>AVERAGE(Table1[[#This Row],[Math]:[English]])</f>
        <v>66.666666666666671</v>
      </c>
      <c r="H8" s="8">
        <f>SUM(Table1[[#This Row],[Math]:[English]])</f>
        <v>200</v>
      </c>
      <c r="I8" s="8" t="str">
        <f>IF(AND(Table1[[#This Row],[Math]]&gt;50,Table1[[#This Row],[Science]]&gt;50,Table1[[#This Row],[English]]&gt;50),"Pass","Fail")</f>
        <v>Fail</v>
      </c>
      <c r="J8" s="13" t="str">
        <f>IF(Table1[[#This Row],[Total]]&gt;=270,"A",
 IF(Table1[[#This Row],[Total]]&gt;=225,"B",
 IF(Table1[[#This Row],[Total]]&gt;=180,"C",
 IF(Table1[[#This Row],[Total]]&gt;=150,"D","Fail"))))</f>
        <v>C</v>
      </c>
      <c r="K8" s="13" t="str">
        <f>IF(AND(Table1[[#This Row],[Math]]&gt;80,Table1[[#This Row],[Science]]&gt;80),"Top Performer","")</f>
        <v/>
      </c>
      <c r="L8" s="13" t="str">
        <f t="shared" si="0"/>
        <v>STUDENT 7</v>
      </c>
      <c r="M8" s="26" t="str">
        <f t="shared" si="1"/>
        <v>student 7</v>
      </c>
      <c r="N8" s="26" t="str">
        <f t="shared" si="2"/>
        <v>Student 7</v>
      </c>
      <c r="O8" s="26" t="str">
        <f>LEFT(Table1[Name],FIND(" ",Table1[Name])-1)</f>
        <v>Student</v>
      </c>
      <c r="P8" s="34">
        <f ca="1">YEAR(TODAY())-YEAR(Table1[Enrollment Date])</f>
        <v>6</v>
      </c>
      <c r="Q8" s="26">
        <f>ROUND(Table1[Avg Mark],2)</f>
        <v>66.67</v>
      </c>
      <c r="R8" s="26">
        <f>FLOOR(Table1[Avg Mark],10)</f>
        <v>60</v>
      </c>
    </row>
    <row r="9" spans="1:18" ht="15" thickBot="1" x14ac:dyDescent="0.35">
      <c r="A9" s="2">
        <v>1008</v>
      </c>
      <c r="B9" s="1" t="s">
        <v>12</v>
      </c>
      <c r="C9" s="1">
        <v>94</v>
      </c>
      <c r="D9" s="1">
        <v>67</v>
      </c>
      <c r="E9" s="1">
        <v>64</v>
      </c>
      <c r="F9" s="5">
        <v>44361</v>
      </c>
      <c r="G9" s="36">
        <f>AVERAGE(Table1[[#This Row],[Math]:[English]])</f>
        <v>75</v>
      </c>
      <c r="H9" s="8">
        <f>SUM(Table1[[#This Row],[Math]:[English]])</f>
        <v>225</v>
      </c>
      <c r="I9" s="8" t="str">
        <f>IF(AND(Table1[[#This Row],[Math]]&gt;50,Table1[[#This Row],[Science]]&gt;50,Table1[[#This Row],[English]]&gt;50),"Pass","Fail")</f>
        <v>Pass</v>
      </c>
      <c r="J9" s="13" t="str">
        <f>IF(Table1[[#This Row],[Total]]&gt;=270,"A",
 IF(Table1[[#This Row],[Total]]&gt;=225,"B",
 IF(Table1[[#This Row],[Total]]&gt;=180,"C",
 IF(Table1[[#This Row],[Total]]&gt;=150,"D","Fail"))))</f>
        <v>B</v>
      </c>
      <c r="K9" s="13" t="str">
        <f>IF(AND(Table1[[#This Row],[Math]]&gt;80,Table1[[#This Row],[Science]]&gt;80),"Top Performer","")</f>
        <v/>
      </c>
      <c r="L9" s="13" t="str">
        <f t="shared" si="0"/>
        <v>STUDENT 8</v>
      </c>
      <c r="M9" s="26" t="str">
        <f t="shared" si="1"/>
        <v>student 8</v>
      </c>
      <c r="N9" s="26" t="str">
        <f t="shared" si="2"/>
        <v>Student 8</v>
      </c>
      <c r="O9" s="26" t="str">
        <f>LEFT(Table1[Name],FIND(" ",Table1[Name])-1)</f>
        <v>Student</v>
      </c>
      <c r="P9" s="34">
        <f ca="1">YEAR(TODAY())-YEAR(Table1[Enrollment Date])</f>
        <v>5</v>
      </c>
      <c r="Q9" s="26">
        <f>ROUND(Table1[Avg Mark],2)</f>
        <v>75</v>
      </c>
      <c r="R9" s="26">
        <f>FLOOR(Table1[Avg Mark],10)</f>
        <v>70</v>
      </c>
    </row>
    <row r="10" spans="1:18" ht="15" thickBot="1" x14ac:dyDescent="0.35">
      <c r="A10" s="2">
        <v>1009</v>
      </c>
      <c r="B10" s="1" t="s">
        <v>13</v>
      </c>
      <c r="C10" s="1">
        <v>41</v>
      </c>
      <c r="D10" s="1">
        <v>75</v>
      </c>
      <c r="E10" s="1">
        <v>56</v>
      </c>
      <c r="F10" s="5">
        <v>44541</v>
      </c>
      <c r="G10" s="36">
        <f>AVERAGE(Table1[[#This Row],[Math]:[English]])</f>
        <v>57.333333333333336</v>
      </c>
      <c r="H10" s="8">
        <f>SUM(Table1[[#This Row],[Math]:[English]])</f>
        <v>172</v>
      </c>
      <c r="I10" s="8" t="str">
        <f>IF(AND(Table1[[#This Row],[Math]]&gt;50,Table1[[#This Row],[Science]]&gt;50,Table1[[#This Row],[English]]&gt;50),"Pass","Fail")</f>
        <v>Fail</v>
      </c>
      <c r="J10" s="13" t="str">
        <f>IF(Table1[[#This Row],[Total]]&gt;=270,"A",
 IF(Table1[[#This Row],[Total]]&gt;=225,"B",
 IF(Table1[[#This Row],[Total]]&gt;=180,"C",
 IF(Table1[[#This Row],[Total]]&gt;=150,"D","Fail"))))</f>
        <v>D</v>
      </c>
      <c r="K10" s="13" t="str">
        <f>IF(AND(Table1[[#This Row],[Math]]&gt;80,Table1[[#This Row],[Science]]&gt;80),"Top Performer","")</f>
        <v/>
      </c>
      <c r="L10" s="13" t="str">
        <f t="shared" si="0"/>
        <v>STUDENT 9</v>
      </c>
      <c r="M10" s="26" t="str">
        <f t="shared" si="1"/>
        <v>student 9</v>
      </c>
      <c r="N10" s="26" t="str">
        <f t="shared" si="2"/>
        <v>Student 9</v>
      </c>
      <c r="O10" s="26" t="str">
        <f>LEFT(Table1[Name],FIND(" ",Table1[Name])-1)</f>
        <v>Student</v>
      </c>
      <c r="P10" s="34">
        <f ca="1">YEAR(TODAY())-YEAR(Table1[Enrollment Date])</f>
        <v>5</v>
      </c>
      <c r="Q10" s="26">
        <f>ROUND(Table1[Avg Mark],2)</f>
        <v>57.33</v>
      </c>
      <c r="R10" s="26">
        <f>FLOOR(Table1[Avg Mark],10)</f>
        <v>50</v>
      </c>
    </row>
    <row r="11" spans="1:18" ht="15" thickBot="1" x14ac:dyDescent="0.35">
      <c r="A11" s="2">
        <v>1010</v>
      </c>
      <c r="B11" s="1" t="s">
        <v>14</v>
      </c>
      <c r="C11" s="1">
        <v>98</v>
      </c>
      <c r="D11" s="1">
        <v>54</v>
      </c>
      <c r="E11" s="1">
        <v>58</v>
      </c>
      <c r="F11" s="5">
        <v>44721</v>
      </c>
      <c r="G11" s="36">
        <f>AVERAGE(Table1[[#This Row],[Math]:[English]])</f>
        <v>70</v>
      </c>
      <c r="H11" s="8">
        <f>SUM(Table1[[#This Row],[Math]:[English]])</f>
        <v>210</v>
      </c>
      <c r="I11" s="8" t="str">
        <f>IF(AND(Table1[[#This Row],[Math]]&gt;50,Table1[[#This Row],[Science]]&gt;50,Table1[[#This Row],[English]]&gt;50),"Pass","Fail")</f>
        <v>Pass</v>
      </c>
      <c r="J11" s="13" t="str">
        <f>IF(Table1[[#This Row],[Total]]&gt;=270,"A",
 IF(Table1[[#This Row],[Total]]&gt;=225,"B",
 IF(Table1[[#This Row],[Total]]&gt;=180,"C",
 IF(Table1[[#This Row],[Total]]&gt;=150,"D","Fail"))))</f>
        <v>C</v>
      </c>
      <c r="K11" s="13" t="str">
        <f>IF(AND(Table1[[#This Row],[Math]]&gt;80,Table1[[#This Row],[Science]]&gt;80),"Top Performer","")</f>
        <v/>
      </c>
      <c r="L11" s="13" t="str">
        <f t="shared" si="0"/>
        <v>STUDENT 10</v>
      </c>
      <c r="M11" s="26" t="str">
        <f t="shared" si="1"/>
        <v>student 10</v>
      </c>
      <c r="N11" s="26" t="str">
        <f t="shared" si="2"/>
        <v>Student 10</v>
      </c>
      <c r="O11" s="26" t="str">
        <f>LEFT(Table1[Name],FIND(" ",Table1[Name])-1)</f>
        <v>Student</v>
      </c>
      <c r="P11" s="34">
        <f ca="1">YEAR(TODAY())-YEAR(Table1[Enrollment Date])</f>
        <v>4</v>
      </c>
      <c r="Q11" s="26">
        <f>ROUND(Table1[Avg Mark],2)</f>
        <v>70</v>
      </c>
      <c r="R11" s="26">
        <f>FLOOR(Table1[Avg Mark],10)</f>
        <v>70</v>
      </c>
    </row>
    <row r="12" spans="1:18" ht="15" thickBot="1" x14ac:dyDescent="0.35">
      <c r="A12" s="2">
        <v>1011</v>
      </c>
      <c r="B12" s="1" t="s">
        <v>15</v>
      </c>
      <c r="C12" s="1">
        <v>43</v>
      </c>
      <c r="D12" s="1">
        <v>79</v>
      </c>
      <c r="E12" s="1">
        <v>53</v>
      </c>
      <c r="F12" s="5">
        <v>44901</v>
      </c>
      <c r="G12" s="36">
        <f>AVERAGE(Table1[[#This Row],[Math]:[English]])</f>
        <v>58.333333333333336</v>
      </c>
      <c r="H12" s="8">
        <f>SUM(Table1[[#This Row],[Math]:[English]])</f>
        <v>175</v>
      </c>
      <c r="I12" s="8" t="str">
        <f>IF(AND(Table1[[#This Row],[Math]]&gt;50,Table1[[#This Row],[Science]]&gt;50,Table1[[#This Row],[English]]&gt;50),"Pass","Fail")</f>
        <v>Fail</v>
      </c>
      <c r="J12" s="13" t="str">
        <f>IF(Table1[[#This Row],[Total]]&gt;=270,"A",
 IF(Table1[[#This Row],[Total]]&gt;=225,"B",
 IF(Table1[[#This Row],[Total]]&gt;=180,"C",
 IF(Table1[[#This Row],[Total]]&gt;=150,"D","Fail"))))</f>
        <v>D</v>
      </c>
      <c r="K12" s="13" t="str">
        <f>IF(AND(Table1[[#This Row],[Math]]&gt;80,Table1[[#This Row],[Science]]&gt;80),"Top Performer","")</f>
        <v/>
      </c>
      <c r="L12" s="13" t="str">
        <f t="shared" si="0"/>
        <v>STUDENT 11</v>
      </c>
      <c r="M12" s="26" t="str">
        <f t="shared" si="1"/>
        <v>student 11</v>
      </c>
      <c r="N12" s="26" t="str">
        <f t="shared" si="2"/>
        <v>Student 11</v>
      </c>
      <c r="O12" s="26" t="str">
        <f>LEFT(Table1[Name],FIND(" ",Table1[Name])-1)</f>
        <v>Student</v>
      </c>
      <c r="P12" s="34">
        <f ca="1">YEAR(TODAY())-YEAR(Table1[Enrollment Date])</f>
        <v>4</v>
      </c>
      <c r="Q12" s="26">
        <f>ROUND(Table1[Avg Mark],2)</f>
        <v>58.33</v>
      </c>
      <c r="R12" s="26">
        <f>FLOOR(Table1[Avg Mark],10)</f>
        <v>50</v>
      </c>
    </row>
    <row r="13" spans="1:18" ht="15" thickBot="1" x14ac:dyDescent="0.35">
      <c r="A13" s="2">
        <v>1012</v>
      </c>
      <c r="B13" s="1" t="s">
        <v>16</v>
      </c>
      <c r="C13" s="1">
        <v>85</v>
      </c>
      <c r="D13" s="1">
        <v>89</v>
      </c>
      <c r="E13" s="1">
        <v>79</v>
      </c>
      <c r="F13" s="5">
        <v>45081</v>
      </c>
      <c r="G13" s="36">
        <f>AVERAGE(Table1[[#This Row],[Math]:[English]])</f>
        <v>84.333333333333329</v>
      </c>
      <c r="H13" s="8">
        <f>SUM(Table1[[#This Row],[Math]:[English]])</f>
        <v>253</v>
      </c>
      <c r="I13" s="8" t="str">
        <f>IF(AND(Table1[[#This Row],[Math]]&gt;50,Table1[[#This Row],[Science]]&gt;50,Table1[[#This Row],[English]]&gt;50),"Pass","Fail")</f>
        <v>Pass</v>
      </c>
      <c r="J13" s="13" t="str">
        <f>IF(Table1[[#This Row],[Total]]&gt;=270,"A",
 IF(Table1[[#This Row],[Total]]&gt;=225,"B",
 IF(Table1[[#This Row],[Total]]&gt;=180,"C",
 IF(Table1[[#This Row],[Total]]&gt;=150,"D","Fail"))))</f>
        <v>B</v>
      </c>
      <c r="K13" s="13" t="str">
        <f>IF(AND(Table1[[#This Row],[Math]]&gt;80,Table1[[#This Row],[Science]]&gt;80),"Top Performer","")</f>
        <v>Top Performer</v>
      </c>
      <c r="L13" s="13" t="str">
        <f t="shared" si="0"/>
        <v>STUDENT 12</v>
      </c>
      <c r="M13" s="26" t="str">
        <f t="shared" si="1"/>
        <v>student 12</v>
      </c>
      <c r="N13" s="26" t="str">
        <f t="shared" si="2"/>
        <v>Student 12</v>
      </c>
      <c r="O13" s="26" t="str">
        <f>LEFT(Table1[Name],FIND(" ",Table1[Name])-1)</f>
        <v>Student</v>
      </c>
      <c r="P13" s="34">
        <f ca="1">YEAR(TODAY())-YEAR(Table1[Enrollment Date])</f>
        <v>3</v>
      </c>
      <c r="Q13" s="26">
        <f>ROUND(Table1[Avg Mark],2)</f>
        <v>84.33</v>
      </c>
      <c r="R13" s="26">
        <f>FLOOR(Table1[Avg Mark],10)</f>
        <v>80</v>
      </c>
    </row>
    <row r="14" spans="1:18" ht="15" thickBot="1" x14ac:dyDescent="0.35">
      <c r="A14" s="2">
        <v>1013</v>
      </c>
      <c r="B14" s="1" t="s">
        <v>17</v>
      </c>
      <c r="C14" s="1">
        <v>98</v>
      </c>
      <c r="D14" s="1">
        <v>90</v>
      </c>
      <c r="E14" s="1">
        <v>97</v>
      </c>
      <c r="F14" s="5">
        <v>45261</v>
      </c>
      <c r="G14" s="36">
        <f>AVERAGE(Table1[[#This Row],[Math]:[English]])</f>
        <v>95</v>
      </c>
      <c r="H14" s="8">
        <f>SUM(Table1[[#This Row],[Math]:[English]])</f>
        <v>285</v>
      </c>
      <c r="I14" s="8" t="str">
        <f>IF(AND(Table1[[#This Row],[Math]]&gt;50,Table1[[#This Row],[Science]]&gt;50,Table1[[#This Row],[English]]&gt;50),"Pass","Fail")</f>
        <v>Pass</v>
      </c>
      <c r="J14" s="13" t="str">
        <f>IF(Table1[[#This Row],[Total]]&gt;=270,"A",
 IF(Table1[[#This Row],[Total]]&gt;=225,"B",
 IF(Table1[[#This Row],[Total]]&gt;=180,"C",
 IF(Table1[[#This Row],[Total]]&gt;=150,"D","Fail"))))</f>
        <v>A</v>
      </c>
      <c r="K14" s="13" t="str">
        <f>IF(AND(Table1[[#This Row],[Math]]&gt;80,Table1[[#This Row],[Science]]&gt;80),"Top Performer","")</f>
        <v>Top Performer</v>
      </c>
      <c r="L14" s="13" t="str">
        <f t="shared" si="0"/>
        <v>STUDENT 13</v>
      </c>
      <c r="M14" s="26" t="str">
        <f t="shared" si="1"/>
        <v>student 13</v>
      </c>
      <c r="N14" s="26" t="str">
        <f t="shared" si="2"/>
        <v>Student 13</v>
      </c>
      <c r="O14" s="26" t="str">
        <f>LEFT(Table1[Name],FIND(" ",Table1[Name])-1)</f>
        <v>Student</v>
      </c>
      <c r="P14" s="34">
        <f ca="1">YEAR(TODAY())-YEAR(Table1[Enrollment Date])</f>
        <v>3</v>
      </c>
      <c r="Q14" s="26">
        <f>ROUND(Table1[Avg Mark],2)</f>
        <v>95</v>
      </c>
      <c r="R14" s="26">
        <f>FLOOR(Table1[Avg Mark],10)</f>
        <v>90</v>
      </c>
    </row>
    <row r="15" spans="1:18" ht="15" thickBot="1" x14ac:dyDescent="0.35">
      <c r="A15" s="2">
        <v>1014</v>
      </c>
      <c r="B15" s="1" t="s">
        <v>18</v>
      </c>
      <c r="C15" s="1">
        <v>93</v>
      </c>
      <c r="D15" s="1">
        <v>40</v>
      </c>
      <c r="E15" s="1">
        <v>44</v>
      </c>
      <c r="F15" s="5">
        <v>45441</v>
      </c>
      <c r="G15" s="36">
        <f>AVERAGE(Table1[[#This Row],[Math]:[English]])</f>
        <v>59</v>
      </c>
      <c r="H15" s="8">
        <f>SUM(Table1[[#This Row],[Math]:[English]])</f>
        <v>177</v>
      </c>
      <c r="I15" s="8" t="str">
        <f>IF(AND(Table1[[#This Row],[Math]]&gt;50,Table1[[#This Row],[Science]]&gt;50,Table1[[#This Row],[English]]&gt;50),"Pass","Fail")</f>
        <v>Fail</v>
      </c>
      <c r="J15" s="13" t="str">
        <f>IF(Table1[[#This Row],[Total]]&gt;=270,"A",
 IF(Table1[[#This Row],[Total]]&gt;=225,"B",
 IF(Table1[[#This Row],[Total]]&gt;=180,"C",
 IF(Table1[[#This Row],[Total]]&gt;=150,"D","Fail"))))</f>
        <v>D</v>
      </c>
      <c r="K15" s="13" t="str">
        <f>IF(AND(Table1[[#This Row],[Math]]&gt;80,Table1[[#This Row],[Science]]&gt;80),"Top Performer","")</f>
        <v/>
      </c>
      <c r="L15" s="13" t="str">
        <f t="shared" si="0"/>
        <v>STUDENT 14</v>
      </c>
      <c r="M15" s="26" t="str">
        <f t="shared" si="1"/>
        <v>student 14</v>
      </c>
      <c r="N15" s="26" t="str">
        <f t="shared" si="2"/>
        <v>Student 14</v>
      </c>
      <c r="O15" s="26" t="str">
        <f>LEFT(Table1[Name],FIND(" ",Table1[Name])-1)</f>
        <v>Student</v>
      </c>
      <c r="P15" s="34">
        <f ca="1">YEAR(TODAY())-YEAR(Table1[Enrollment Date])</f>
        <v>2</v>
      </c>
      <c r="Q15" s="26">
        <f>ROUND(Table1[Avg Mark],2)</f>
        <v>59</v>
      </c>
      <c r="R15" s="26">
        <f>FLOOR(Table1[Avg Mark],10)</f>
        <v>50</v>
      </c>
    </row>
    <row r="16" spans="1:18" ht="15" thickBot="1" x14ac:dyDescent="0.35">
      <c r="A16" s="2">
        <v>1015</v>
      </c>
      <c r="B16" s="1" t="s">
        <v>19</v>
      </c>
      <c r="C16" s="1">
        <v>70</v>
      </c>
      <c r="D16" s="1">
        <v>51</v>
      </c>
      <c r="E16" s="1">
        <v>75</v>
      </c>
      <c r="F16" s="5">
        <v>45621</v>
      </c>
      <c r="G16" s="36">
        <f>AVERAGE(Table1[[#This Row],[Math]:[English]])</f>
        <v>65.333333333333329</v>
      </c>
      <c r="H16" s="8">
        <f>SUM(Table1[[#This Row],[Math]:[English]])</f>
        <v>196</v>
      </c>
      <c r="I16" s="8" t="str">
        <f>IF(AND(Table1[[#This Row],[Math]]&gt;50,Table1[[#This Row],[Science]]&gt;50,Table1[[#This Row],[English]]&gt;50),"Pass","Fail")</f>
        <v>Pass</v>
      </c>
      <c r="J16" s="13" t="str">
        <f>IF(Table1[[#This Row],[Total]]&gt;=270,"A",
 IF(Table1[[#This Row],[Total]]&gt;=225,"B",
 IF(Table1[[#This Row],[Total]]&gt;=180,"C",
 IF(Table1[[#This Row],[Total]]&gt;=150,"D","Fail"))))</f>
        <v>C</v>
      </c>
      <c r="K16" s="13" t="str">
        <f>IF(AND(Table1[[#This Row],[Math]]&gt;80,Table1[[#This Row],[Science]]&gt;80),"Top Performer","")</f>
        <v/>
      </c>
      <c r="L16" s="13" t="str">
        <f t="shared" si="0"/>
        <v>STUDENT 15</v>
      </c>
      <c r="M16" s="26" t="str">
        <f t="shared" si="1"/>
        <v>student 15</v>
      </c>
      <c r="N16" s="26" t="str">
        <f t="shared" si="2"/>
        <v>Student 15</v>
      </c>
      <c r="O16" s="26" t="str">
        <f>LEFT(Table1[Name],FIND(" ",Table1[Name])-1)</f>
        <v>Student</v>
      </c>
      <c r="P16" s="34">
        <f ca="1">YEAR(TODAY())-YEAR(Table1[Enrollment Date])</f>
        <v>2</v>
      </c>
      <c r="Q16" s="26">
        <f>ROUND(Table1[Avg Mark],2)</f>
        <v>65.33</v>
      </c>
      <c r="R16" s="26">
        <f>FLOOR(Table1[Avg Mark],10)</f>
        <v>60</v>
      </c>
    </row>
    <row r="17" spans="1:18" ht="15" thickBot="1" x14ac:dyDescent="0.35">
      <c r="A17" s="2">
        <v>1016</v>
      </c>
      <c r="B17" s="1" t="s">
        <v>20</v>
      </c>
      <c r="C17" s="1">
        <v>98</v>
      </c>
      <c r="D17" s="1">
        <v>77</v>
      </c>
      <c r="E17" s="1">
        <v>60</v>
      </c>
      <c r="F17" s="5">
        <v>45801</v>
      </c>
      <c r="G17" s="36">
        <f>AVERAGE(Table1[[#This Row],[Math]:[English]])</f>
        <v>78.333333333333329</v>
      </c>
      <c r="H17" s="8">
        <f>SUM(Table1[[#This Row],[Math]:[English]])</f>
        <v>235</v>
      </c>
      <c r="I17" s="8" t="str">
        <f>IF(AND(Table1[[#This Row],[Math]]&gt;50,Table1[[#This Row],[Science]]&gt;50,Table1[[#This Row],[English]]&gt;50),"Pass","Fail")</f>
        <v>Pass</v>
      </c>
      <c r="J17" s="13" t="str">
        <f>IF(Table1[[#This Row],[Total]]&gt;=270,"A",
 IF(Table1[[#This Row],[Total]]&gt;=225,"B",
 IF(Table1[[#This Row],[Total]]&gt;=180,"C",
 IF(Table1[[#This Row],[Total]]&gt;=150,"D","Fail"))))</f>
        <v>B</v>
      </c>
      <c r="K17" s="13" t="str">
        <f>IF(AND(Table1[[#This Row],[Math]]&gt;80,Table1[[#This Row],[Science]]&gt;80),"Top Performer","")</f>
        <v/>
      </c>
      <c r="L17" s="13" t="str">
        <f t="shared" si="0"/>
        <v>STUDENT 16</v>
      </c>
      <c r="M17" s="26" t="str">
        <f t="shared" si="1"/>
        <v>student 16</v>
      </c>
      <c r="N17" s="26" t="str">
        <f t="shared" si="2"/>
        <v>Student 16</v>
      </c>
      <c r="O17" s="26" t="str">
        <f>LEFT(Table1[Name],FIND(" ",Table1[Name])-1)</f>
        <v>Student</v>
      </c>
      <c r="P17" s="34">
        <f ca="1">YEAR(TODAY())-YEAR(Table1[Enrollment Date])</f>
        <v>1</v>
      </c>
      <c r="Q17" s="26">
        <f>ROUND(Table1[Avg Mark],2)</f>
        <v>78.33</v>
      </c>
      <c r="R17" s="26">
        <f>FLOOR(Table1[Avg Mark],10)</f>
        <v>70</v>
      </c>
    </row>
    <row r="18" spans="1:18" ht="15" thickBot="1" x14ac:dyDescent="0.35">
      <c r="A18" s="2">
        <v>1017</v>
      </c>
      <c r="B18" s="1" t="s">
        <v>21</v>
      </c>
      <c r="C18" s="1">
        <v>66</v>
      </c>
      <c r="D18" s="1">
        <v>59</v>
      </c>
      <c r="E18" s="1">
        <v>40</v>
      </c>
      <c r="F18" s="5">
        <v>45981</v>
      </c>
      <c r="G18" s="36">
        <f>AVERAGE(Table1[[#This Row],[Math]:[English]])</f>
        <v>55</v>
      </c>
      <c r="H18" s="8">
        <f>SUM(Table1[[#This Row],[Math]:[English]])</f>
        <v>165</v>
      </c>
      <c r="I18" s="8" t="str">
        <f>IF(AND(Table1[[#This Row],[Math]]&gt;50,Table1[[#This Row],[Science]]&gt;50,Table1[[#This Row],[English]]&gt;50),"Pass","Fail")</f>
        <v>Fail</v>
      </c>
      <c r="J18" s="13" t="str">
        <f>IF(Table1[[#This Row],[Total]]&gt;=270,"A",
 IF(Table1[[#This Row],[Total]]&gt;=225,"B",
 IF(Table1[[#This Row],[Total]]&gt;=180,"C",
 IF(Table1[[#This Row],[Total]]&gt;=150,"D","Fail"))))</f>
        <v>D</v>
      </c>
      <c r="K18" s="13" t="str">
        <f>IF(AND(Table1[[#This Row],[Math]]&gt;80,Table1[[#This Row],[Science]]&gt;80),"Top Performer","")</f>
        <v/>
      </c>
      <c r="L18" s="13" t="str">
        <f t="shared" si="0"/>
        <v>STUDENT 17</v>
      </c>
      <c r="M18" s="26" t="str">
        <f t="shared" si="1"/>
        <v>student 17</v>
      </c>
      <c r="N18" s="26" t="str">
        <f t="shared" si="2"/>
        <v>Student 17</v>
      </c>
      <c r="O18" s="26" t="str">
        <f>LEFT(Table1[Name],FIND(" ",Table1[Name])-1)</f>
        <v>Student</v>
      </c>
      <c r="P18" s="34">
        <f ca="1">YEAR(TODAY())-YEAR(Table1[Enrollment Date])</f>
        <v>1</v>
      </c>
      <c r="Q18" s="26">
        <f>ROUND(Table1[Avg Mark],2)</f>
        <v>55</v>
      </c>
      <c r="R18" s="26">
        <f>FLOOR(Table1[Avg Mark],10)</f>
        <v>50</v>
      </c>
    </row>
    <row r="19" spans="1:18" ht="15" thickBot="1" x14ac:dyDescent="0.35">
      <c r="A19" s="2">
        <v>1018</v>
      </c>
      <c r="B19" s="1" t="s">
        <v>22</v>
      </c>
      <c r="C19" s="1">
        <v>82</v>
      </c>
      <c r="D19" s="1">
        <v>48</v>
      </c>
      <c r="E19" s="1">
        <v>79</v>
      </c>
      <c r="F19" s="5">
        <v>46161</v>
      </c>
      <c r="G19" s="36">
        <f>AVERAGE(Table1[[#This Row],[Math]:[English]])</f>
        <v>69.666666666666671</v>
      </c>
      <c r="H19" s="8">
        <f>SUM(Table1[[#This Row],[Math]:[English]])</f>
        <v>209</v>
      </c>
      <c r="I19" s="8" t="str">
        <f>IF(AND(Table1[[#This Row],[Math]]&gt;50,Table1[[#This Row],[Science]]&gt;50,Table1[[#This Row],[English]]&gt;50),"Pass","Fail")</f>
        <v>Fail</v>
      </c>
      <c r="J19" s="13" t="str">
        <f>IF(Table1[[#This Row],[Total]]&gt;=270,"A",
 IF(Table1[[#This Row],[Total]]&gt;=225,"B",
 IF(Table1[[#This Row],[Total]]&gt;=180,"C",
 IF(Table1[[#This Row],[Total]]&gt;=150,"D","Fail"))))</f>
        <v>C</v>
      </c>
      <c r="K19" s="13" t="str">
        <f>IF(AND(Table1[[#This Row],[Math]]&gt;80,Table1[[#This Row],[Science]]&gt;80),"Top Performer","")</f>
        <v/>
      </c>
      <c r="L19" s="13" t="str">
        <f t="shared" si="0"/>
        <v>STUDENT 18</v>
      </c>
      <c r="M19" s="26" t="str">
        <f t="shared" si="1"/>
        <v>student 18</v>
      </c>
      <c r="N19" s="26" t="str">
        <f t="shared" si="2"/>
        <v>Student 18</v>
      </c>
      <c r="O19" s="26" t="str">
        <f>LEFT(Table1[Name],FIND(" ",Table1[Name])-1)</f>
        <v>Student</v>
      </c>
      <c r="P19" s="34">
        <f ca="1">YEAR(TODAY())-YEAR(Table1[Enrollment Date])</f>
        <v>0</v>
      </c>
      <c r="Q19" s="26">
        <f>ROUND(Table1[Avg Mark],2)</f>
        <v>69.67</v>
      </c>
      <c r="R19" s="26">
        <f>FLOOR(Table1[Avg Mark],10)</f>
        <v>60</v>
      </c>
    </row>
    <row r="20" spans="1:18" ht="15" thickBot="1" x14ac:dyDescent="0.35">
      <c r="A20" s="2">
        <v>1019</v>
      </c>
      <c r="B20" s="1" t="s">
        <v>23</v>
      </c>
      <c r="C20" s="1">
        <v>90</v>
      </c>
      <c r="D20" s="1">
        <v>78</v>
      </c>
      <c r="E20" s="1">
        <v>60</v>
      </c>
      <c r="F20" s="5">
        <v>46341</v>
      </c>
      <c r="G20" s="36">
        <f>AVERAGE(Table1[[#This Row],[Math]:[English]])</f>
        <v>76</v>
      </c>
      <c r="H20" s="8">
        <f>SUM(Table1[[#This Row],[Math]:[English]])</f>
        <v>228</v>
      </c>
      <c r="I20" s="8" t="str">
        <f>IF(AND(Table1[[#This Row],[Math]]&gt;50,Table1[[#This Row],[Science]]&gt;50,Table1[[#This Row],[English]]&gt;50),"Pass","Fail")</f>
        <v>Pass</v>
      </c>
      <c r="J20" s="13" t="str">
        <f>IF(Table1[[#This Row],[Total]]&gt;=270,"A",
 IF(Table1[[#This Row],[Total]]&gt;=225,"B",
 IF(Table1[[#This Row],[Total]]&gt;=180,"C",
 IF(Table1[[#This Row],[Total]]&gt;=150,"D","Fail"))))</f>
        <v>B</v>
      </c>
      <c r="K20" s="13" t="str">
        <f>IF(AND(Table1[[#This Row],[Math]]&gt;80,Table1[[#This Row],[Science]]&gt;80),"Top Performer","")</f>
        <v/>
      </c>
      <c r="L20" s="13" t="str">
        <f t="shared" si="0"/>
        <v>STUDENT 19</v>
      </c>
      <c r="M20" s="26" t="str">
        <f t="shared" si="1"/>
        <v>student 19</v>
      </c>
      <c r="N20" s="26" t="str">
        <f t="shared" si="2"/>
        <v>Student 19</v>
      </c>
      <c r="O20" s="26" t="str">
        <f>LEFT(Table1[Name],FIND(" ",Table1[Name])-1)</f>
        <v>Student</v>
      </c>
      <c r="P20" s="34">
        <f ca="1">YEAR(TODAY())-YEAR(Table1[Enrollment Date])</f>
        <v>0</v>
      </c>
      <c r="Q20" s="26">
        <f>ROUND(Table1[Avg Mark],2)</f>
        <v>76</v>
      </c>
      <c r="R20" s="26">
        <f>FLOOR(Table1[Avg Mark],10)</f>
        <v>70</v>
      </c>
    </row>
    <row r="21" spans="1:18" x14ac:dyDescent="0.3">
      <c r="A21" s="3">
        <v>1020</v>
      </c>
      <c r="B21" s="4" t="s">
        <v>24</v>
      </c>
      <c r="C21" s="4">
        <v>46</v>
      </c>
      <c r="D21" s="4">
        <v>92</v>
      </c>
      <c r="E21" s="4">
        <v>55</v>
      </c>
      <c r="F21" s="6">
        <v>46521</v>
      </c>
      <c r="G21" s="36">
        <f>AVERAGE(Table1[[#This Row],[Math]:[English]])</f>
        <v>64.333333333333329</v>
      </c>
      <c r="H21" s="8">
        <f>SUM(Table1[[#This Row],[Math]:[English]])</f>
        <v>193</v>
      </c>
      <c r="I21" s="8" t="str">
        <f>IF(AND(Table1[[#This Row],[Math]]&gt;50,Table1[[#This Row],[Science]]&gt;50,Table1[[#This Row],[English]]&gt;50),"Pass","Fail")</f>
        <v>Fail</v>
      </c>
      <c r="J21" s="13" t="str">
        <f>IF(Table1[[#This Row],[Total]]&gt;=270,"A",
 IF(Table1[[#This Row],[Total]]&gt;=225,"B",
 IF(Table1[[#This Row],[Total]]&gt;=180,"C",
 IF(Table1[[#This Row],[Total]]&gt;=150,"D","Fail"))))</f>
        <v>C</v>
      </c>
      <c r="K21" s="13" t="str">
        <f>IF(AND(Table1[[#This Row],[Math]]&gt;80,Table1[[#This Row],[Science]]&gt;80),"Top Performer","")</f>
        <v/>
      </c>
      <c r="L21" s="13" t="str">
        <f t="shared" si="0"/>
        <v>STUDENT 20</v>
      </c>
      <c r="M21" s="26" t="str">
        <f t="shared" si="1"/>
        <v>student 20</v>
      </c>
      <c r="N21" s="26" t="str">
        <f t="shared" si="2"/>
        <v>Student 20</v>
      </c>
      <c r="O21" s="26" t="str">
        <f>LEFT(Table1[Name],FIND(" ",Table1[Name])-1)</f>
        <v>Student</v>
      </c>
      <c r="P21" s="34">
        <f ca="1">YEAR(TODAY())-YEAR(Table1[Enrollment Date])</f>
        <v>-1</v>
      </c>
      <c r="Q21" s="26">
        <f>ROUND(Table1[Avg Mark],2)</f>
        <v>64.33</v>
      </c>
      <c r="R21" s="26">
        <f>FLOOR(Table1[Avg Mark],10)</f>
        <v>60</v>
      </c>
    </row>
    <row r="22" spans="1:18" x14ac:dyDescent="0.3">
      <c r="M22" s="26" t="str">
        <f t="shared" si="1"/>
        <v/>
      </c>
      <c r="N22" s="26" t="str">
        <f t="shared" si="2"/>
        <v/>
      </c>
    </row>
    <row r="24" spans="1:18" x14ac:dyDescent="0.3">
      <c r="A24" t="s">
        <v>28</v>
      </c>
      <c r="B24" t="s">
        <v>29</v>
      </c>
    </row>
    <row r="25" spans="1:18" x14ac:dyDescent="0.3">
      <c r="A25" t="s">
        <v>66</v>
      </c>
      <c r="B25" t="s">
        <v>29</v>
      </c>
    </row>
    <row r="26" spans="1:18" x14ac:dyDescent="0.3">
      <c r="A26" t="s">
        <v>68</v>
      </c>
      <c r="B26" t="s">
        <v>29</v>
      </c>
    </row>
    <row r="27" spans="1:18" x14ac:dyDescent="0.3">
      <c r="A27" t="s">
        <v>70</v>
      </c>
      <c r="B27" t="s">
        <v>29</v>
      </c>
      <c r="E27" s="20" t="s">
        <v>71</v>
      </c>
      <c r="F27" s="21"/>
      <c r="G27" s="37">
        <f>COUNTIF(C2:C21,"&gt;50")</f>
        <v>17</v>
      </c>
    </row>
    <row r="28" spans="1:18" x14ac:dyDescent="0.3">
      <c r="B28" t="s">
        <v>29</v>
      </c>
      <c r="E28" s="20" t="s">
        <v>74</v>
      </c>
      <c r="F28" s="21"/>
      <c r="G28" s="37">
        <f>COUNTIF(G2:G21,"&gt;60")</f>
        <v>15</v>
      </c>
    </row>
    <row r="30" spans="1:18" x14ac:dyDescent="0.3">
      <c r="A30" t="s">
        <v>75</v>
      </c>
      <c r="B30" t="s">
        <v>29</v>
      </c>
      <c r="E30" s="24">
        <v>1005</v>
      </c>
      <c r="F30" s="23" t="str">
        <f>VLOOKUP(E30,A2:B21,2,)</f>
        <v>Student 5</v>
      </c>
      <c r="G30" s="38" t="str">
        <f>VLOOKUP(E30,A2:I21,9,)</f>
        <v>Pass</v>
      </c>
    </row>
    <row r="32" spans="1:18" x14ac:dyDescent="0.3">
      <c r="A32" t="s">
        <v>77</v>
      </c>
      <c r="B32" t="s">
        <v>29</v>
      </c>
    </row>
    <row r="33" spans="1:2" x14ac:dyDescent="0.3">
      <c r="A33" t="s">
        <v>78</v>
      </c>
      <c r="B33" t="s">
        <v>29</v>
      </c>
    </row>
    <row r="34" spans="1:2" x14ac:dyDescent="0.3">
      <c r="A34" t="s">
        <v>82</v>
      </c>
      <c r="B34" t="s">
        <v>29</v>
      </c>
    </row>
  </sheetData>
  <mergeCells count="2">
    <mergeCell ref="E27:F27"/>
    <mergeCell ref="E28:F28"/>
  </mergeCells>
  <dataValidations count="1">
    <dataValidation type="list" allowBlank="1" showInputMessage="1" showErrorMessage="1" sqref="E30" xr:uid="{3C648723-007A-433D-ACA3-3307B7FBF507}">
      <formula1>$A$2:$A$21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6646F-222E-4B03-A46D-8A51BDF2E771}">
  <dimension ref="A1:M39"/>
  <sheetViews>
    <sheetView zoomScale="85" zoomScaleNormal="85" workbookViewId="0">
      <selection activeCell="G16" sqref="G16"/>
    </sheetView>
  </sheetViews>
  <sheetFormatPr defaultRowHeight="14.4" x14ac:dyDescent="0.3"/>
  <cols>
    <col min="1" max="1" width="14.77734375" customWidth="1"/>
    <col min="2" max="2" width="10.6640625" customWidth="1"/>
    <col min="3" max="3" width="8.6640625" customWidth="1"/>
    <col min="4" max="4" width="14.6640625" customWidth="1"/>
    <col min="5" max="5" width="12.88671875" style="17" customWidth="1"/>
    <col min="6" max="6" width="22.44140625" style="7" customWidth="1"/>
    <col min="7" max="7" width="14.109375" customWidth="1"/>
    <col min="8" max="8" width="31.44140625" customWidth="1"/>
    <col min="13" max="13" width="10.21875" customWidth="1"/>
  </cols>
  <sheetData>
    <row r="1" spans="1:13" ht="25.2" customHeight="1" thickBot="1" x14ac:dyDescent="0.35">
      <c r="A1" s="9" t="s">
        <v>30</v>
      </c>
      <c r="B1" s="10" t="s">
        <v>31</v>
      </c>
      <c r="C1" s="10" t="s">
        <v>32</v>
      </c>
      <c r="D1" s="10" t="s">
        <v>33</v>
      </c>
      <c r="E1" s="14" t="s">
        <v>34</v>
      </c>
      <c r="F1" s="11" t="s">
        <v>35</v>
      </c>
      <c r="G1" s="12" t="s">
        <v>65</v>
      </c>
      <c r="H1" s="12" t="s">
        <v>69</v>
      </c>
      <c r="L1" t="s">
        <v>32</v>
      </c>
      <c r="M1" t="s">
        <v>31</v>
      </c>
    </row>
    <row r="2" spans="1:13" ht="15" thickBot="1" x14ac:dyDescent="0.35">
      <c r="A2" s="2">
        <v>2001</v>
      </c>
      <c r="B2" s="1" t="s">
        <v>36</v>
      </c>
      <c r="C2" s="1" t="s">
        <v>37</v>
      </c>
      <c r="D2" s="1" t="s">
        <v>38</v>
      </c>
      <c r="E2" s="15">
        <v>7048</v>
      </c>
      <c r="F2" s="5">
        <v>44927</v>
      </c>
      <c r="G2" s="8">
        <f>IF(Table2[[#This Row],[Amount]]&gt;=20000,Table2[[#This Row],[Amount]]*20%,
 IF(Table2[[#This Row],[Amount]]&gt;=10000,Table2[[#This Row],[Amount]]*10%,
 Table2[[#This Row],[Amount]]*5%))</f>
        <v>352.40000000000003</v>
      </c>
      <c r="H2" s="13" t="str">
        <f>IF(OR(Table2[[#This Row],[Product]]="Keyboard",Table2[[#This Row],[Amount]]&gt;10000),"Eligible","Not Eligible")</f>
        <v>Eligible</v>
      </c>
      <c r="L2" t="s">
        <v>37</v>
      </c>
      <c r="M2" s="1" t="s">
        <v>36</v>
      </c>
    </row>
    <row r="3" spans="1:13" ht="15" thickBot="1" x14ac:dyDescent="0.35">
      <c r="A3" s="2">
        <v>2002</v>
      </c>
      <c r="B3" s="1" t="s">
        <v>39</v>
      </c>
      <c r="C3" s="1" t="s">
        <v>40</v>
      </c>
      <c r="D3" s="1" t="s">
        <v>41</v>
      </c>
      <c r="E3" s="15">
        <v>17428</v>
      </c>
      <c r="F3" s="5">
        <v>44942</v>
      </c>
      <c r="G3" s="8">
        <f>IF(Table2[[#This Row],[Amount]]&gt;=20000,Table2[[#This Row],[Amount]]*20%,
 IF(Table2[[#This Row],[Amount]]&gt;=10000,Table2[[#This Row],[Amount]]*10%,
 Table2[[#This Row],[Amount]]*5%))</f>
        <v>1742.8000000000002</v>
      </c>
      <c r="H3" s="13" t="str">
        <f>IF(OR(Table2[[#This Row],[Product]]="Keyboard",Table2[[#This Row],[Amount]]&gt;10000),"Eligible","Not Eligible")</f>
        <v>Eligible</v>
      </c>
      <c r="L3" t="s">
        <v>40</v>
      </c>
      <c r="M3" s="1" t="s">
        <v>39</v>
      </c>
    </row>
    <row r="4" spans="1:13" ht="15" thickBot="1" x14ac:dyDescent="0.35">
      <c r="A4" s="2">
        <v>2003</v>
      </c>
      <c r="B4" s="1" t="s">
        <v>42</v>
      </c>
      <c r="C4" s="1" t="s">
        <v>37</v>
      </c>
      <c r="D4" s="1" t="s">
        <v>43</v>
      </c>
      <c r="E4" s="15">
        <v>23672</v>
      </c>
      <c r="F4" s="5">
        <v>44957</v>
      </c>
      <c r="G4" s="8">
        <f>IF(Table2[[#This Row],[Amount]]&gt;=20000,Table2[[#This Row],[Amount]]*20%,
 IF(Table2[[#This Row],[Amount]]&gt;=10000,Table2[[#This Row],[Amount]]*10%,
 Table2[[#This Row],[Amount]]*5%))</f>
        <v>4734.4000000000005</v>
      </c>
      <c r="H4" s="13" t="str">
        <f>IF(OR(Table2[[#This Row],[Product]]="Keyboard",Table2[[#This Row],[Amount]]&gt;10000),"Eligible","Not Eligible")</f>
        <v>Eligible</v>
      </c>
      <c r="L4" t="s">
        <v>44</v>
      </c>
      <c r="M4" s="1" t="s">
        <v>42</v>
      </c>
    </row>
    <row r="5" spans="1:13" ht="15" thickBot="1" x14ac:dyDescent="0.35">
      <c r="A5" s="2">
        <v>2004</v>
      </c>
      <c r="B5" s="1" t="s">
        <v>39</v>
      </c>
      <c r="C5" s="1" t="s">
        <v>44</v>
      </c>
      <c r="D5" s="1" t="s">
        <v>45</v>
      </c>
      <c r="E5" s="15">
        <v>5264</v>
      </c>
      <c r="F5" s="5">
        <v>44972</v>
      </c>
      <c r="G5" s="8">
        <f>IF(Table2[[#This Row],[Amount]]&gt;=20000,Table2[[#This Row],[Amount]]*20%,
 IF(Table2[[#This Row],[Amount]]&gt;=10000,Table2[[#This Row],[Amount]]*10%,
 Table2[[#This Row],[Amount]]*5%))</f>
        <v>263.2</v>
      </c>
      <c r="H5" s="13" t="str">
        <f>IF(OR(Table2[[#This Row],[Product]]="Keyboard",Table2[[#This Row],[Amount]]&gt;10000),"Eligible","Not Eligible")</f>
        <v>Not Eligible</v>
      </c>
      <c r="L5" t="s">
        <v>46</v>
      </c>
      <c r="M5" s="1" t="s">
        <v>56</v>
      </c>
    </row>
    <row r="6" spans="1:13" ht="15" thickBot="1" x14ac:dyDescent="0.35">
      <c r="A6" s="2">
        <v>2005</v>
      </c>
      <c r="B6" s="1" t="s">
        <v>36</v>
      </c>
      <c r="C6" s="1" t="s">
        <v>46</v>
      </c>
      <c r="D6" s="1" t="s">
        <v>47</v>
      </c>
      <c r="E6" s="15">
        <v>43388</v>
      </c>
      <c r="F6" s="5">
        <v>44987</v>
      </c>
      <c r="G6" s="8">
        <f>IF(Table2[[#This Row],[Amount]]&gt;=20000,Table2[[#This Row],[Amount]]*20%,
 IF(Table2[[#This Row],[Amount]]&gt;=10000,Table2[[#This Row],[Amount]]*10%,
 Table2[[#This Row],[Amount]]*5%))</f>
        <v>8677.6</v>
      </c>
      <c r="H6" s="13" t="str">
        <f>IF(OR(Table2[[#This Row],[Product]]="Keyboard",Table2[[#This Row],[Amount]]&gt;10000),"Eligible","Not Eligible")</f>
        <v>Eligible</v>
      </c>
      <c r="M6" s="4" t="s">
        <v>54</v>
      </c>
    </row>
    <row r="7" spans="1:13" ht="15" thickBot="1" x14ac:dyDescent="0.35">
      <c r="A7" s="2">
        <v>2006</v>
      </c>
      <c r="B7" s="1" t="s">
        <v>42</v>
      </c>
      <c r="C7" s="1" t="s">
        <v>46</v>
      </c>
      <c r="D7" s="1" t="s">
        <v>48</v>
      </c>
      <c r="E7" s="15">
        <v>19757</v>
      </c>
      <c r="F7" s="5">
        <v>45002</v>
      </c>
      <c r="G7" s="8">
        <f>IF(Table2[[#This Row],[Amount]]&gt;=20000,Table2[[#This Row],[Amount]]*20%,
 IF(Table2[[#This Row],[Amount]]&gt;=10000,Table2[[#This Row],[Amount]]*10%,
 Table2[[#This Row],[Amount]]*5%))</f>
        <v>1975.7</v>
      </c>
      <c r="H7" s="13" t="str">
        <f>IF(OR(Table2[[#This Row],[Product]]="Keyboard",Table2[[#This Row],[Amount]]&gt;10000),"Eligible","Not Eligible")</f>
        <v>Eligible</v>
      </c>
    </row>
    <row r="8" spans="1:13" ht="15" thickBot="1" x14ac:dyDescent="0.35">
      <c r="A8" s="2">
        <v>2007</v>
      </c>
      <c r="B8" s="1" t="s">
        <v>42</v>
      </c>
      <c r="C8" s="1" t="s">
        <v>44</v>
      </c>
      <c r="D8" s="1" t="s">
        <v>49</v>
      </c>
      <c r="E8" s="15">
        <v>32058</v>
      </c>
      <c r="F8" s="5">
        <v>45017</v>
      </c>
      <c r="G8" s="8">
        <f>IF(Table2[[#This Row],[Amount]]&gt;=20000,Table2[[#This Row],[Amount]]*20%,
 IF(Table2[[#This Row],[Amount]]&gt;=10000,Table2[[#This Row],[Amount]]*10%,
 Table2[[#This Row],[Amount]]*5%))</f>
        <v>6411.6</v>
      </c>
      <c r="H8" s="13" t="str">
        <f>IF(OR(Table2[[#This Row],[Product]]="Keyboard",Table2[[#This Row],[Amount]]&gt;10000),"Eligible","Not Eligible")</f>
        <v>Eligible</v>
      </c>
    </row>
    <row r="9" spans="1:13" ht="15" thickBot="1" x14ac:dyDescent="0.35">
      <c r="A9" s="2">
        <v>2008</v>
      </c>
      <c r="B9" s="1" t="s">
        <v>36</v>
      </c>
      <c r="C9" s="1" t="s">
        <v>44</v>
      </c>
      <c r="D9" s="1" t="s">
        <v>50</v>
      </c>
      <c r="E9" s="15">
        <v>46429</v>
      </c>
      <c r="F9" s="5">
        <v>45032</v>
      </c>
      <c r="G9" s="8">
        <f>IF(Table2[[#This Row],[Amount]]&gt;=20000,Table2[[#This Row],[Amount]]*20%,
 IF(Table2[[#This Row],[Amount]]&gt;=10000,Table2[[#This Row],[Amount]]*10%,
 Table2[[#This Row],[Amount]]*5%))</f>
        <v>9285.8000000000011</v>
      </c>
      <c r="H9" s="13" t="str">
        <f>IF(OR(Table2[[#This Row],[Product]]="Keyboard",Table2[[#This Row],[Amount]]&gt;10000),"Eligible","Not Eligible")</f>
        <v>Eligible</v>
      </c>
    </row>
    <row r="10" spans="1:13" ht="15" thickBot="1" x14ac:dyDescent="0.35">
      <c r="A10" s="2">
        <v>2009</v>
      </c>
      <c r="B10" s="1" t="s">
        <v>39</v>
      </c>
      <c r="C10" s="1" t="s">
        <v>44</v>
      </c>
      <c r="D10" s="1" t="s">
        <v>51</v>
      </c>
      <c r="E10" s="15">
        <v>19746</v>
      </c>
      <c r="F10" s="5">
        <v>45047</v>
      </c>
      <c r="G10" s="8">
        <f>IF(Table2[[#This Row],[Amount]]&gt;=20000,Table2[[#This Row],[Amount]]*20%,
 IF(Table2[[#This Row],[Amount]]&gt;=10000,Table2[[#This Row],[Amount]]*10%,
 Table2[[#This Row],[Amount]]*5%))</f>
        <v>1974.6000000000001</v>
      </c>
      <c r="H10" s="13" t="str">
        <f>IF(OR(Table2[[#This Row],[Product]]="Keyboard",Table2[[#This Row],[Amount]]&gt;10000),"Eligible","Not Eligible")</f>
        <v>Eligible</v>
      </c>
    </row>
    <row r="11" spans="1:13" ht="15" thickBot="1" x14ac:dyDescent="0.35">
      <c r="A11" s="2">
        <v>2010</v>
      </c>
      <c r="B11" s="1" t="s">
        <v>36</v>
      </c>
      <c r="C11" s="1" t="s">
        <v>37</v>
      </c>
      <c r="D11" s="1" t="s">
        <v>52</v>
      </c>
      <c r="E11" s="15">
        <v>35185</v>
      </c>
      <c r="F11" s="5">
        <v>45062</v>
      </c>
      <c r="G11" s="8">
        <f>IF(Table2[[#This Row],[Amount]]&gt;=20000,Table2[[#This Row],[Amount]]*20%,
 IF(Table2[[#This Row],[Amount]]&gt;=10000,Table2[[#This Row],[Amount]]*10%,
 Table2[[#This Row],[Amount]]*5%))</f>
        <v>7037</v>
      </c>
      <c r="H11" s="13" t="str">
        <f>IF(OR(Table2[[#This Row],[Product]]="Keyboard",Table2[[#This Row],[Amount]]&gt;10000),"Eligible","Not Eligible")</f>
        <v>Eligible</v>
      </c>
    </row>
    <row r="12" spans="1:13" ht="15" thickBot="1" x14ac:dyDescent="0.35">
      <c r="A12" s="2">
        <v>2011</v>
      </c>
      <c r="B12" s="1" t="s">
        <v>36</v>
      </c>
      <c r="C12" s="1" t="s">
        <v>44</v>
      </c>
      <c r="D12" s="1" t="s">
        <v>53</v>
      </c>
      <c r="E12" s="15">
        <v>33920</v>
      </c>
      <c r="F12" s="5">
        <v>45077</v>
      </c>
      <c r="G12" s="8">
        <f>IF(Table2[[#This Row],[Amount]]&gt;=20000,Table2[[#This Row],[Amount]]*20%,
 IF(Table2[[#This Row],[Amount]]&gt;=10000,Table2[[#This Row],[Amount]]*10%,
 Table2[[#This Row],[Amount]]*5%))</f>
        <v>6784</v>
      </c>
      <c r="H12" s="13" t="str">
        <f>IF(OR(Table2[[#This Row],[Product]]="Keyboard",Table2[[#This Row],[Amount]]&gt;10000),"Eligible","Not Eligible")</f>
        <v>Eligible</v>
      </c>
    </row>
    <row r="13" spans="1:13" ht="15" thickBot="1" x14ac:dyDescent="0.35">
      <c r="A13" s="2">
        <v>2012</v>
      </c>
      <c r="B13" s="1" t="s">
        <v>54</v>
      </c>
      <c r="C13" s="1" t="s">
        <v>46</v>
      </c>
      <c r="D13" s="1" t="s">
        <v>55</v>
      </c>
      <c r="E13" s="15">
        <v>35611</v>
      </c>
      <c r="F13" s="5">
        <v>45092</v>
      </c>
      <c r="G13" s="8">
        <f>IF(Table2[[#This Row],[Amount]]&gt;=20000,Table2[[#This Row],[Amount]]*20%,
 IF(Table2[[#This Row],[Amount]]&gt;=10000,Table2[[#This Row],[Amount]]*10%,
 Table2[[#This Row],[Amount]]*5%))</f>
        <v>7122.2000000000007</v>
      </c>
      <c r="H13" s="13" t="str">
        <f>IF(OR(Table2[[#This Row],[Product]]="Keyboard",Table2[[#This Row],[Amount]]&gt;10000),"Eligible","Not Eligible")</f>
        <v>Eligible</v>
      </c>
    </row>
    <row r="14" spans="1:13" ht="15" thickBot="1" x14ac:dyDescent="0.35">
      <c r="A14" s="2">
        <v>2013</v>
      </c>
      <c r="B14" s="1" t="s">
        <v>56</v>
      </c>
      <c r="C14" s="1" t="s">
        <v>44</v>
      </c>
      <c r="D14" s="1" t="s">
        <v>57</v>
      </c>
      <c r="E14" s="15">
        <v>15560</v>
      </c>
      <c r="F14" s="5">
        <v>45107</v>
      </c>
      <c r="G14" s="8">
        <f>IF(Table2[[#This Row],[Amount]]&gt;=20000,Table2[[#This Row],[Amount]]*20%,
 IF(Table2[[#This Row],[Amount]]&gt;=10000,Table2[[#This Row],[Amount]]*10%,
 Table2[[#This Row],[Amount]]*5%))</f>
        <v>1556</v>
      </c>
      <c r="H14" s="13" t="str">
        <f>IF(OR(Table2[[#This Row],[Product]]="Keyboard",Table2[[#This Row],[Amount]]&gt;10000),"Eligible","Not Eligible")</f>
        <v>Eligible</v>
      </c>
    </row>
    <row r="15" spans="1:13" ht="15" thickBot="1" x14ac:dyDescent="0.35">
      <c r="A15" s="2">
        <v>2014</v>
      </c>
      <c r="B15" s="1" t="s">
        <v>56</v>
      </c>
      <c r="C15" s="1" t="s">
        <v>37</v>
      </c>
      <c r="D15" s="1" t="s">
        <v>58</v>
      </c>
      <c r="E15" s="15">
        <v>7283</v>
      </c>
      <c r="F15" s="5">
        <v>45122</v>
      </c>
      <c r="G15" s="8">
        <f>IF(Table2[[#This Row],[Amount]]&gt;=20000,Table2[[#This Row],[Amount]]*20%,
 IF(Table2[[#This Row],[Amount]]&gt;=10000,Table2[[#This Row],[Amount]]*10%,
 Table2[[#This Row],[Amount]]*5%))</f>
        <v>364.15000000000003</v>
      </c>
      <c r="H15" s="13" t="str">
        <f>IF(OR(Table2[[#This Row],[Product]]="Keyboard",Table2[[#This Row],[Amount]]&gt;10000),"Eligible","Not Eligible")</f>
        <v>Not Eligible</v>
      </c>
    </row>
    <row r="16" spans="1:13" ht="15" thickBot="1" x14ac:dyDescent="0.35">
      <c r="A16" s="2">
        <v>2015</v>
      </c>
      <c r="B16" s="1" t="s">
        <v>56</v>
      </c>
      <c r="C16" s="1" t="s">
        <v>44</v>
      </c>
      <c r="D16" s="1" t="s">
        <v>59</v>
      </c>
      <c r="E16" s="15">
        <v>15678</v>
      </c>
      <c r="F16" s="5">
        <v>45137</v>
      </c>
      <c r="G16" s="8">
        <f>IF(Table2[[#This Row],[Amount]]&gt;=20000,Table2[[#This Row],[Amount]]*20%,
 IF(Table2[[#This Row],[Amount]]&gt;=10000,Table2[[#This Row],[Amount]]*10%,
 Table2[[#This Row],[Amount]]*5%))</f>
        <v>1567.8000000000002</v>
      </c>
      <c r="H16" s="13" t="str">
        <f>IF(OR(Table2[[#This Row],[Product]]="Keyboard",Table2[[#This Row],[Amount]]&gt;10000),"Eligible","Not Eligible")</f>
        <v>Eligible</v>
      </c>
    </row>
    <row r="17" spans="1:9" ht="15" thickBot="1" x14ac:dyDescent="0.35">
      <c r="A17" s="2">
        <v>2016</v>
      </c>
      <c r="B17" s="1" t="s">
        <v>42</v>
      </c>
      <c r="C17" s="1" t="s">
        <v>44</v>
      </c>
      <c r="D17" s="1" t="s">
        <v>60</v>
      </c>
      <c r="E17" s="15">
        <v>5277</v>
      </c>
      <c r="F17" s="5">
        <v>45152</v>
      </c>
      <c r="G17" s="8">
        <f>IF(Table2[[#This Row],[Amount]]&gt;=20000,Table2[[#This Row],[Amount]]*20%,
 IF(Table2[[#This Row],[Amount]]&gt;=10000,Table2[[#This Row],[Amount]]*10%,
 Table2[[#This Row],[Amount]]*5%))</f>
        <v>263.85000000000002</v>
      </c>
      <c r="H17" s="13" t="str">
        <f>IF(OR(Table2[[#This Row],[Product]]="Keyboard",Table2[[#This Row],[Amount]]&gt;10000),"Eligible","Not Eligible")</f>
        <v>Not Eligible</v>
      </c>
    </row>
    <row r="18" spans="1:9" ht="15" thickBot="1" x14ac:dyDescent="0.35">
      <c r="A18" s="2">
        <v>2017</v>
      </c>
      <c r="B18" s="1" t="s">
        <v>54</v>
      </c>
      <c r="C18" s="1" t="s">
        <v>46</v>
      </c>
      <c r="D18" s="1" t="s">
        <v>61</v>
      </c>
      <c r="E18" s="15">
        <v>41871</v>
      </c>
      <c r="F18" s="5">
        <v>45167</v>
      </c>
      <c r="G18" s="8">
        <f>IF(Table2[[#This Row],[Amount]]&gt;=20000,Table2[[#This Row],[Amount]]*20%,
 IF(Table2[[#This Row],[Amount]]&gt;=10000,Table2[[#This Row],[Amount]]*10%,
 Table2[[#This Row],[Amount]]*5%))</f>
        <v>8374.2000000000007</v>
      </c>
      <c r="H18" s="13" t="str">
        <f>IF(OR(Table2[[#This Row],[Product]]="Keyboard",Table2[[#This Row],[Amount]]&gt;10000),"Eligible","Not Eligible")</f>
        <v>Eligible</v>
      </c>
    </row>
    <row r="19" spans="1:9" ht="15" thickBot="1" x14ac:dyDescent="0.35">
      <c r="A19" s="2">
        <v>2018</v>
      </c>
      <c r="B19" s="1" t="s">
        <v>54</v>
      </c>
      <c r="C19" s="1" t="s">
        <v>40</v>
      </c>
      <c r="D19" s="1" t="s">
        <v>62</v>
      </c>
      <c r="E19" s="15">
        <v>38161</v>
      </c>
      <c r="F19" s="5">
        <v>45182</v>
      </c>
      <c r="G19" s="8">
        <f>IF(Table2[[#This Row],[Amount]]&gt;=20000,Table2[[#This Row],[Amount]]*20%,
 IF(Table2[[#This Row],[Amount]]&gt;=10000,Table2[[#This Row],[Amount]]*10%,
 Table2[[#This Row],[Amount]]*5%))</f>
        <v>7632.2000000000007</v>
      </c>
      <c r="H19" s="13" t="str">
        <f>IF(OR(Table2[[#This Row],[Product]]="Keyboard",Table2[[#This Row],[Amount]]&gt;10000),"Eligible","Not Eligible")</f>
        <v>Eligible</v>
      </c>
    </row>
    <row r="20" spans="1:9" ht="15" thickBot="1" x14ac:dyDescent="0.35">
      <c r="A20" s="2">
        <v>2019</v>
      </c>
      <c r="B20" s="1" t="s">
        <v>42</v>
      </c>
      <c r="C20" s="1" t="s">
        <v>40</v>
      </c>
      <c r="D20" s="1" t="s">
        <v>63</v>
      </c>
      <c r="E20" s="15">
        <v>30436</v>
      </c>
      <c r="F20" s="5">
        <v>45197</v>
      </c>
      <c r="G20" s="8">
        <f>IF(Table2[[#This Row],[Amount]]&gt;=20000,Table2[[#This Row],[Amount]]*20%,
 IF(Table2[[#This Row],[Amount]]&gt;=10000,Table2[[#This Row],[Amount]]*10%,
 Table2[[#This Row],[Amount]]*5%))</f>
        <v>6087.2000000000007</v>
      </c>
      <c r="H20" s="13" t="str">
        <f>IF(OR(Table2[[#This Row],[Product]]="Keyboard",Table2[[#This Row],[Amount]]&gt;10000),"Eligible","Not Eligible")</f>
        <v>Eligible</v>
      </c>
    </row>
    <row r="21" spans="1:9" x14ac:dyDescent="0.3">
      <c r="A21" s="3">
        <v>2020</v>
      </c>
      <c r="B21" s="4" t="s">
        <v>39</v>
      </c>
      <c r="C21" s="4" t="s">
        <v>40</v>
      </c>
      <c r="D21" s="4" t="s">
        <v>64</v>
      </c>
      <c r="E21" s="16">
        <v>33953</v>
      </c>
      <c r="F21" s="6">
        <v>45212</v>
      </c>
      <c r="G21" s="8">
        <f>IF(Table2[[#This Row],[Amount]]&gt;=20000,Table2[[#This Row],[Amount]]*20%,
 IF(Table2[[#This Row],[Amount]]&gt;=10000,Table2[[#This Row],[Amount]]*10%,
 Table2[[#This Row],[Amount]]*5%))</f>
        <v>6790.6</v>
      </c>
      <c r="H21" s="13" t="str">
        <f>IF(OR(Table2[[#This Row],[Product]]="Keyboard",Table2[[#This Row],[Amount]]&gt;10000),"Eligible","Not Eligible")</f>
        <v>Eligible</v>
      </c>
    </row>
    <row r="24" spans="1:9" x14ac:dyDescent="0.3">
      <c r="A24" t="s">
        <v>28</v>
      </c>
      <c r="B24" t="s">
        <v>29</v>
      </c>
    </row>
    <row r="25" spans="1:9" x14ac:dyDescent="0.3">
      <c r="A25" t="s">
        <v>66</v>
      </c>
      <c r="B25" t="s">
        <v>29</v>
      </c>
    </row>
    <row r="26" spans="1:9" x14ac:dyDescent="0.3">
      <c r="A26" t="s">
        <v>68</v>
      </c>
      <c r="B26" t="s">
        <v>29</v>
      </c>
      <c r="G26" s="18" t="s">
        <v>32</v>
      </c>
      <c r="H26" s="18" t="s">
        <v>31</v>
      </c>
      <c r="I26" s="18" t="s">
        <v>26</v>
      </c>
    </row>
    <row r="27" spans="1:9" x14ac:dyDescent="0.3">
      <c r="A27" t="s">
        <v>70</v>
      </c>
      <c r="B27" t="s">
        <v>29</v>
      </c>
      <c r="D27" s="20" t="s">
        <v>72</v>
      </c>
      <c r="E27" s="21"/>
      <c r="F27" s="21"/>
      <c r="G27" s="17" t="s">
        <v>37</v>
      </c>
      <c r="H27" t="s">
        <v>36</v>
      </c>
      <c r="I27">
        <f>SUMIFS(Table2[Amount],Table2[Region],G27,Table2[Product],H27)</f>
        <v>42233</v>
      </c>
    </row>
    <row r="28" spans="1:9" x14ac:dyDescent="0.3">
      <c r="H28" t="s">
        <v>39</v>
      </c>
      <c r="I28">
        <f>SUMIFS(Table2[Amount],Table2[Region],G27,Table2[Product],H28)</f>
        <v>0</v>
      </c>
    </row>
    <row r="29" spans="1:9" x14ac:dyDescent="0.3">
      <c r="H29" t="s">
        <v>42</v>
      </c>
      <c r="I29">
        <f>SUMIFS(Table2[Amount],Table2[Region],G27,Table2[Product],H29)</f>
        <v>23672</v>
      </c>
    </row>
    <row r="30" spans="1:9" x14ac:dyDescent="0.3">
      <c r="H30" t="s">
        <v>56</v>
      </c>
      <c r="I30">
        <f>SUMIFS(Table2[Amount],Table2[Region],G27,Table2[Product],H30)</f>
        <v>7283</v>
      </c>
    </row>
    <row r="31" spans="1:9" x14ac:dyDescent="0.3">
      <c r="H31" t="s">
        <v>54</v>
      </c>
      <c r="I31">
        <f>SUMIFS(Table2[Amount],Table2[Region],G27,Table2[Product],H31)</f>
        <v>0</v>
      </c>
    </row>
    <row r="32" spans="1:9" x14ac:dyDescent="0.3">
      <c r="E32" s="25" t="s">
        <v>76</v>
      </c>
      <c r="F32" s="23" t="s">
        <v>34</v>
      </c>
      <c r="H32" s="19"/>
    </row>
    <row r="33" spans="1:6" x14ac:dyDescent="0.3">
      <c r="A33" t="s">
        <v>75</v>
      </c>
      <c r="B33" t="s">
        <v>29</v>
      </c>
      <c r="E33" s="17" t="s">
        <v>39</v>
      </c>
      <c r="F33" s="22">
        <f>VLOOKUP(E33,Table2[[Product]:[Amount]],4,TRUE)</f>
        <v>33953</v>
      </c>
    </row>
    <row r="35" spans="1:6" x14ac:dyDescent="0.3">
      <c r="A35" t="s">
        <v>77</v>
      </c>
      <c r="B35" t="s">
        <v>29</v>
      </c>
    </row>
    <row r="36" spans="1:6" x14ac:dyDescent="0.3">
      <c r="A36" t="s">
        <v>78</v>
      </c>
      <c r="B36" t="s">
        <v>29</v>
      </c>
    </row>
    <row r="38" spans="1:6" x14ac:dyDescent="0.3">
      <c r="A38" t="s">
        <v>113</v>
      </c>
      <c r="B38" t="s">
        <v>29</v>
      </c>
    </row>
    <row r="39" spans="1:6" x14ac:dyDescent="0.3">
      <c r="E39" s="17">
        <f ca="1">SUM(OFFSET(Table2[Amount],COUNT(Table2[Amount])-5,0,5,1))</f>
        <v>149698</v>
      </c>
    </row>
  </sheetData>
  <dataConsolidate function="product">
    <dataRefs count="1">
      <dataRef ref="C2:C21" sheet="SALESDATA"/>
    </dataRefs>
  </dataConsolidate>
  <mergeCells count="1">
    <mergeCell ref="D27:F27"/>
  </mergeCells>
  <dataValidations count="2">
    <dataValidation type="list" allowBlank="1" showInputMessage="1" showErrorMessage="1" sqref="G27" xr:uid="{BD7B01D4-F481-42C1-ADFF-C07B4FC31BC5}">
      <formula1>$L$2:$L$6</formula1>
    </dataValidation>
    <dataValidation type="list" allowBlank="1" showInputMessage="1" showErrorMessage="1" sqref="E33" xr:uid="{A85F524C-83A3-40CA-B455-E5CC4E0A82CD}">
      <formula1>$M$2:$M$6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947C-56E8-41FF-9BE5-3467CF9177E2}">
  <dimension ref="A1:E21"/>
  <sheetViews>
    <sheetView workbookViewId="0">
      <selection activeCell="D16" sqref="D16"/>
    </sheetView>
  </sheetViews>
  <sheetFormatPr defaultRowHeight="14.4" x14ac:dyDescent="0.3"/>
  <cols>
    <col min="1" max="1" width="8.33203125" bestFit="1" customWidth="1"/>
    <col min="2" max="2" width="19.109375" customWidth="1"/>
    <col min="3" max="3" width="14.77734375" customWidth="1"/>
    <col min="4" max="4" width="13.88671875" style="17" customWidth="1"/>
    <col min="5" max="5" width="15.44140625" style="7" bestFit="1" customWidth="1"/>
  </cols>
  <sheetData>
    <row r="1" spans="1:5" ht="29.4" thickBot="1" x14ac:dyDescent="0.35">
      <c r="A1" s="27" t="s">
        <v>85</v>
      </c>
      <c r="B1" s="28" t="s">
        <v>1</v>
      </c>
      <c r="C1" s="28" t="s">
        <v>86</v>
      </c>
      <c r="D1" s="32" t="s">
        <v>87</v>
      </c>
      <c r="E1" s="30" t="s">
        <v>88</v>
      </c>
    </row>
    <row r="2" spans="1:5" ht="15" thickBot="1" x14ac:dyDescent="0.35">
      <c r="A2" s="29">
        <v>3001</v>
      </c>
      <c r="B2" s="1" t="s">
        <v>89</v>
      </c>
      <c r="C2" s="1" t="s">
        <v>90</v>
      </c>
      <c r="D2" s="15">
        <v>86766</v>
      </c>
      <c r="E2" s="31">
        <v>42005</v>
      </c>
    </row>
    <row r="3" spans="1:5" ht="15" thickBot="1" x14ac:dyDescent="0.35">
      <c r="A3" s="29">
        <v>3002</v>
      </c>
      <c r="B3" s="1" t="s">
        <v>91</v>
      </c>
      <c r="C3" s="1" t="s">
        <v>90</v>
      </c>
      <c r="D3" s="15">
        <v>31943</v>
      </c>
      <c r="E3" s="31">
        <v>42255</v>
      </c>
    </row>
    <row r="4" spans="1:5" ht="15" thickBot="1" x14ac:dyDescent="0.35">
      <c r="A4" s="29">
        <v>3003</v>
      </c>
      <c r="B4" s="1" t="s">
        <v>92</v>
      </c>
      <c r="C4" s="1" t="s">
        <v>93</v>
      </c>
      <c r="D4" s="15">
        <v>63374</v>
      </c>
      <c r="E4" s="31">
        <v>42505</v>
      </c>
    </row>
    <row r="5" spans="1:5" ht="15" thickBot="1" x14ac:dyDescent="0.35">
      <c r="A5" s="29">
        <v>3004</v>
      </c>
      <c r="B5" s="1" t="s">
        <v>94</v>
      </c>
      <c r="C5" s="1" t="s">
        <v>90</v>
      </c>
      <c r="D5" s="15">
        <v>109972</v>
      </c>
      <c r="E5" s="31">
        <v>42755</v>
      </c>
    </row>
    <row r="6" spans="1:5" ht="15" thickBot="1" x14ac:dyDescent="0.35">
      <c r="A6" s="29">
        <v>3005</v>
      </c>
      <c r="B6" s="1" t="s">
        <v>95</v>
      </c>
      <c r="C6" s="1" t="s">
        <v>96</v>
      </c>
      <c r="D6" s="15">
        <v>54149</v>
      </c>
      <c r="E6" s="31">
        <v>43005</v>
      </c>
    </row>
    <row r="7" spans="1:5" ht="15" thickBot="1" x14ac:dyDescent="0.35">
      <c r="A7" s="29">
        <v>3006</v>
      </c>
      <c r="B7" s="1" t="s">
        <v>97</v>
      </c>
      <c r="C7" s="1" t="s">
        <v>96</v>
      </c>
      <c r="D7" s="15">
        <v>78689</v>
      </c>
      <c r="E7" s="31">
        <v>43255</v>
      </c>
    </row>
    <row r="8" spans="1:5" ht="15" thickBot="1" x14ac:dyDescent="0.35">
      <c r="A8" s="29">
        <v>3007</v>
      </c>
      <c r="B8" s="1" t="s">
        <v>98</v>
      </c>
      <c r="C8" s="1" t="s">
        <v>99</v>
      </c>
      <c r="D8" s="15">
        <v>35960</v>
      </c>
      <c r="E8" s="31">
        <v>43505</v>
      </c>
    </row>
    <row r="9" spans="1:5" ht="15" thickBot="1" x14ac:dyDescent="0.35">
      <c r="A9" s="29">
        <v>3008</v>
      </c>
      <c r="B9" s="1" t="s">
        <v>100</v>
      </c>
      <c r="C9" s="1" t="s">
        <v>96</v>
      </c>
      <c r="D9" s="15">
        <v>91659</v>
      </c>
      <c r="E9" s="31">
        <v>43755</v>
      </c>
    </row>
    <row r="10" spans="1:5" ht="15" thickBot="1" x14ac:dyDescent="0.35">
      <c r="A10" s="29">
        <v>3009</v>
      </c>
      <c r="B10" s="1" t="s">
        <v>101</v>
      </c>
      <c r="C10" s="1" t="s">
        <v>96</v>
      </c>
      <c r="D10" s="15">
        <v>90423</v>
      </c>
      <c r="E10" s="31">
        <v>44005</v>
      </c>
    </row>
    <row r="11" spans="1:5" ht="15" thickBot="1" x14ac:dyDescent="0.35">
      <c r="A11" s="29">
        <v>3010</v>
      </c>
      <c r="B11" s="1" t="s">
        <v>102</v>
      </c>
      <c r="C11" s="1" t="s">
        <v>93</v>
      </c>
      <c r="D11" s="15">
        <v>107877</v>
      </c>
      <c r="E11" s="31">
        <v>44255</v>
      </c>
    </row>
    <row r="12" spans="1:5" ht="15" thickBot="1" x14ac:dyDescent="0.35">
      <c r="A12" s="29">
        <v>3011</v>
      </c>
      <c r="B12" s="1" t="s">
        <v>103</v>
      </c>
      <c r="C12" s="1" t="s">
        <v>90</v>
      </c>
      <c r="D12" s="15">
        <v>107634</v>
      </c>
      <c r="E12" s="31">
        <v>44505</v>
      </c>
    </row>
    <row r="13" spans="1:5" ht="15" thickBot="1" x14ac:dyDescent="0.35">
      <c r="A13" s="29">
        <v>3012</v>
      </c>
      <c r="B13" s="1" t="s">
        <v>104</v>
      </c>
      <c r="C13" s="1" t="s">
        <v>90</v>
      </c>
      <c r="D13" s="15">
        <v>35226</v>
      </c>
      <c r="E13" s="31">
        <v>44755</v>
      </c>
    </row>
    <row r="14" spans="1:5" ht="15" thickBot="1" x14ac:dyDescent="0.35">
      <c r="A14" s="29">
        <v>3013</v>
      </c>
      <c r="B14" s="1" t="s">
        <v>105</v>
      </c>
      <c r="C14" s="1" t="s">
        <v>93</v>
      </c>
      <c r="D14" s="15">
        <v>40872</v>
      </c>
      <c r="E14" s="31">
        <v>45005</v>
      </c>
    </row>
    <row r="15" spans="1:5" ht="15" thickBot="1" x14ac:dyDescent="0.35">
      <c r="A15" s="29">
        <v>3014</v>
      </c>
      <c r="B15" s="1" t="s">
        <v>106</v>
      </c>
      <c r="C15" s="1" t="s">
        <v>93</v>
      </c>
      <c r="D15" s="15">
        <v>55378</v>
      </c>
      <c r="E15" s="31">
        <v>45255</v>
      </c>
    </row>
    <row r="16" spans="1:5" ht="15" thickBot="1" x14ac:dyDescent="0.35">
      <c r="A16" s="29">
        <v>3015</v>
      </c>
      <c r="B16" s="1" t="s">
        <v>107</v>
      </c>
      <c r="C16" s="1" t="s">
        <v>93</v>
      </c>
      <c r="D16" s="15">
        <v>63297</v>
      </c>
      <c r="E16" s="31">
        <v>45505</v>
      </c>
    </row>
    <row r="17" spans="1:5" ht="15" thickBot="1" x14ac:dyDescent="0.35">
      <c r="A17" s="29">
        <v>3016</v>
      </c>
      <c r="B17" s="1" t="s">
        <v>108</v>
      </c>
      <c r="C17" s="1" t="s">
        <v>90</v>
      </c>
      <c r="D17" s="15">
        <v>114173</v>
      </c>
      <c r="E17" s="31">
        <v>45755</v>
      </c>
    </row>
    <row r="18" spans="1:5" ht="15" thickBot="1" x14ac:dyDescent="0.35">
      <c r="A18" s="29">
        <v>3017</v>
      </c>
      <c r="B18" s="1" t="s">
        <v>109</v>
      </c>
      <c r="C18" s="1" t="s">
        <v>93</v>
      </c>
      <c r="D18" s="15">
        <v>86915</v>
      </c>
      <c r="E18" s="31">
        <v>46005</v>
      </c>
    </row>
    <row r="19" spans="1:5" ht="15" thickBot="1" x14ac:dyDescent="0.35">
      <c r="A19" s="29">
        <v>3018</v>
      </c>
      <c r="B19" s="1" t="s">
        <v>110</v>
      </c>
      <c r="C19" s="1" t="s">
        <v>96</v>
      </c>
      <c r="D19" s="15">
        <v>116284</v>
      </c>
      <c r="E19" s="31">
        <v>46255</v>
      </c>
    </row>
    <row r="20" spans="1:5" ht="15" thickBot="1" x14ac:dyDescent="0.35">
      <c r="A20" s="29">
        <v>3019</v>
      </c>
      <c r="B20" s="1" t="s">
        <v>111</v>
      </c>
      <c r="C20" s="1" t="s">
        <v>99</v>
      </c>
      <c r="D20" s="15">
        <v>116283</v>
      </c>
      <c r="E20" s="31">
        <v>46505</v>
      </c>
    </row>
    <row r="21" spans="1:5" ht="15" thickBot="1" x14ac:dyDescent="0.35">
      <c r="A21" s="29">
        <v>3020</v>
      </c>
      <c r="B21" s="1" t="s">
        <v>112</v>
      </c>
      <c r="C21" s="1" t="s">
        <v>99</v>
      </c>
      <c r="D21" s="15">
        <v>99924</v>
      </c>
      <c r="E21" s="31">
        <v>46755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B478-5D48-4463-AC5A-48989F62D0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STUDENTDATA</vt:lpstr>
      <vt:lpstr>SALESDATA</vt:lpstr>
      <vt:lpstr>EMPLOYEEDATA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ArJun..!!! .</dc:creator>
  <cp:lastModifiedBy>ArJun..!!! .</cp:lastModifiedBy>
  <dcterms:created xsi:type="dcterms:W3CDTF">2026-02-25T07:22:57Z</dcterms:created>
  <dcterms:modified xsi:type="dcterms:W3CDTF">2026-02-26T11:06:46Z</dcterms:modified>
</cp:coreProperties>
</file>